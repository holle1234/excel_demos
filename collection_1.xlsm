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ho\Desktop\"/>
    </mc:Choice>
  </mc:AlternateContent>
  <xr:revisionPtr revIDLastSave="0" documentId="13_ncr:1_{961F09A7-2B01-4363-A0BB-BF573042867D}" xr6:coauthVersionLast="47" xr6:coauthVersionMax="47" xr10:uidLastSave="{00000000-0000-0000-0000-000000000000}"/>
  <bookViews>
    <workbookView xWindow="-28920" yWindow="-2925" windowWidth="29040" windowHeight="16440" activeTab="4" xr2:uid="{00000000-000D-0000-FFFF-FFFF00000000}"/>
  </bookViews>
  <sheets>
    <sheet name="raw_csv" sheetId="1" r:id="rId1"/>
    <sheet name="from_csv_to_table" sheetId="3" r:id="rId2"/>
    <sheet name="formatted" sheetId="4" r:id="rId3"/>
    <sheet name="pivot" sheetId="6" r:id="rId4"/>
    <sheet name="Sheet6" sheetId="11" r:id="rId5"/>
  </sheets>
  <definedNames>
    <definedName name="ExternalData_1" localSheetId="2" hidden="1">formatted!$A$1:$G$207</definedName>
    <definedName name="ExternalData_1" localSheetId="1" hidden="1">from_csv_to_table!$A$1:$G$403</definedName>
    <definedName name="SA">Sheet6!$O$4:$O$8</definedName>
    <definedName name="SB">Sheet6!$P$4:$P$8</definedName>
    <definedName name="SC">Sheet6!$Q$4:$Q$8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11" l="1"/>
  <c r="F24" i="11"/>
  <c r="G24" i="11"/>
  <c r="H24" i="11"/>
  <c r="D24" i="11"/>
  <c r="K23" i="11"/>
  <c r="K24" i="11" s="1"/>
  <c r="L22" i="11"/>
  <c r="K22" i="11"/>
  <c r="L21" i="11"/>
  <c r="K21" i="11"/>
  <c r="K19" i="11"/>
  <c r="K20" i="11"/>
  <c r="K18" i="11"/>
  <c r="S16" i="11"/>
  <c r="R16" i="11"/>
  <c r="Q16" i="11"/>
  <c r="Q12" i="11"/>
  <c r="R12" i="11"/>
  <c r="P12" i="11"/>
  <c r="E18" i="11"/>
  <c r="F18" i="11"/>
  <c r="G18" i="11"/>
  <c r="H18" i="11"/>
  <c r="D18" i="11"/>
  <c r="C2" i="11"/>
  <c r="D2" i="11"/>
  <c r="C3" i="11"/>
  <c r="D3" i="11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D1" i="11"/>
  <c r="E1" i="11" s="1"/>
  <c r="F1" i="11" s="1"/>
  <c r="G1" i="11" s="1"/>
  <c r="H1" i="11" s="1"/>
  <c r="F3" i="11"/>
  <c r="G3" i="11"/>
  <c r="F4" i="11"/>
  <c r="G4" i="11"/>
  <c r="F5" i="11"/>
  <c r="G5" i="11"/>
  <c r="F6" i="11"/>
  <c r="G6" i="11"/>
  <c r="F7" i="11"/>
  <c r="G7" i="11"/>
  <c r="F8" i="11"/>
  <c r="G8" i="11"/>
  <c r="F9" i="11"/>
  <c r="G9" i="11"/>
  <c r="F10" i="11"/>
  <c r="G10" i="11"/>
  <c r="F11" i="11"/>
  <c r="G11" i="11"/>
  <c r="F12" i="11"/>
  <c r="G12" i="11"/>
  <c r="F13" i="11"/>
  <c r="G13" i="11"/>
  <c r="F14" i="11"/>
  <c r="G14" i="11"/>
  <c r="F15" i="11"/>
  <c r="G15" i="11"/>
  <c r="G2" i="11"/>
  <c r="F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2" i="11"/>
  <c r="E110" i="4"/>
  <c r="E111" i="4"/>
  <c r="E112" i="4"/>
  <c r="E113" i="4"/>
  <c r="E114" i="4"/>
  <c r="E109" i="4"/>
  <c r="F110" i="4"/>
  <c r="F111" i="4"/>
  <c r="F112" i="4"/>
  <c r="F113" i="4"/>
  <c r="F109" i="4"/>
  <c r="G110" i="4"/>
  <c r="G111" i="4"/>
  <c r="G112" i="4"/>
  <c r="G113" i="4"/>
  <c r="G114" i="4"/>
  <c r="G109" i="4"/>
  <c r="J12" i="4" a="1"/>
  <c r="C28" i="11" l="1" a="1"/>
  <c r="C28" i="11" s="1"/>
  <c r="D28" i="11" s="1" a="1"/>
  <c r="D28" i="11" s="1"/>
  <c r="D25" i="11" a="1"/>
  <c r="D25" i="11" s="1"/>
  <c r="F25" i="11" a="1"/>
  <c r="F25" i="11" s="1"/>
  <c r="E25" i="11" a="1"/>
  <c r="E25" i="11" s="1"/>
  <c r="H25" i="11" a="1"/>
  <c r="H25" i="11" s="1"/>
  <c r="G25" i="11" a="1"/>
  <c r="G25" i="11" s="1"/>
  <c r="O17" i="11"/>
  <c r="S17" i="11"/>
  <c r="R17" i="11"/>
  <c r="Q17" i="11"/>
  <c r="P17" i="11"/>
  <c r="P13" i="11"/>
  <c r="F20" i="11" a="1"/>
  <c r="F20" i="11" s="1"/>
  <c r="G20" i="11" a="1"/>
  <c r="G20" i="11" s="1"/>
  <c r="D20" i="11" a="1"/>
  <c r="D20" i="11" s="1"/>
  <c r="H20" i="11" a="1"/>
  <c r="H20" i="11" s="1"/>
  <c r="E20" i="11" a="1"/>
  <c r="E20" i="11" s="1"/>
  <c r="G19" i="11" a="1"/>
  <c r="G19" i="11" s="1"/>
  <c r="H19" i="11" a="1"/>
  <c r="H19" i="11" s="1"/>
  <c r="F19" i="11" a="1"/>
  <c r="F19" i="11" s="1"/>
  <c r="D19" i="11" a="1"/>
  <c r="D19" i="11" s="1"/>
  <c r="E19" i="11" a="1"/>
  <c r="E19" i="11" s="1"/>
  <c r="J12" i="4"/>
  <c r="E21" i="11" l="1" a="1"/>
  <c r="E21" i="11" s="1"/>
  <c r="G21" i="11" a="1"/>
  <c r="G21" i="11" s="1"/>
  <c r="F21" i="11" a="1"/>
  <c r="F21" i="11" s="1"/>
  <c r="D21" i="11" a="1"/>
  <c r="D21" i="11" s="1"/>
  <c r="H21" i="11" a="1"/>
  <c r="H21" i="11" s="1"/>
  <c r="I12" i="4" a="1"/>
  <c r="I12" i="4" s="1"/>
  <c r="N12" i="4" a="1"/>
  <c r="N12" i="4" s="1"/>
  <c r="M12" i="4" a="1"/>
  <c r="M12" i="4" s="1"/>
  <c r="L12" i="4" a="1"/>
  <c r="L12" i="4" s="1"/>
  <c r="K12" i="4" a="1"/>
  <c r="K1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Kysely – excel_test" description="Yhteys kyselyyn excel_test työkirjassa." type="5" refreshedVersion="8" background="1" saveData="1">
    <dbPr connection="Provider=Microsoft.Mashup.OleDb.1;Data Source=$Workbook$;Location=excel_test;Extended Properties=&quot;&quot;" command="SELECT * FROM [excel_test]"/>
  </connection>
  <connection id="2" xr16:uid="{00000000-0015-0000-FFFF-FFFF01000000}" keepAlive="1" name="Kysely – excel_test (2)" description="Yhteys kyselyyn excel_test (2) työkirjassa." type="5" refreshedVersion="8" background="1" saveData="1">
    <dbPr connection="Provider=Microsoft.Mashup.OleDb.1;Data Source=$Workbook$;Location=&quot;excel_test (2)&quot;;Extended Properties=&quot;&quot;" command="SELECT * FROM [excel_test (2)]"/>
  </connection>
  <connection id="3" xr16:uid="{00000000-0015-0000-FFFF-FFFF02000000}" keepAlive="1" name="Kysely – excel_test (3)" description="Yhteys kyselyyn excel_test (3) työkirjassa." type="5" refreshedVersion="8" background="1" saveData="1">
    <dbPr connection="Provider=Microsoft.Mashup.OleDb.1;Data Source=$Workbook$;Location=&quot;excel_test (3)&quot;;Extended Properties=&quot;&quot;" command="SELECT * FROM [excel_test (3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<sst xmlns="http://schemas.openxmlformats.org/spreadsheetml/2006/main" count="4183" uniqueCount="222">
  <si>
    <t>name,id,s_value,date,i_value,f_value,b_value</t>
  </si>
  <si>
    <t>olejlldtrqy ynswuyxjw,00004,q,1990-01-14 09:33:10,641,76.22825199909595,False</t>
  </si>
  <si>
    <t>nafrz zamrqsrfub,00006,R,2020-02-04 22:07:36,168,84.98414871022513,True</t>
  </si>
  <si>
    <t>mfxi ywtgxau,00015,t,1970-10-17 12:25:41,118,85.71850537640898,False</t>
  </si>
  <si>
    <t>fqzbhid ojbtqw,00002,i,2018-02-26 03:41:50,984,36.576362842088386,True</t>
  </si>
  <si>
    <t>ctwudbczvnah yfkpcitkta,00005,j,2018-10-07 12:27:47,269,20.622264166106824,True</t>
  </si>
  <si>
    <t>yngnevqqqxreo hvtztugcarjl,00001,k,1976-04-30 22:52:56,495,92.6980388739312,False</t>
  </si>
  <si>
    <t>gepevjpwsuocd iwxb,00018,w,2010-08-14 21:58:32,56,37.364638582422145,True</t>
  </si>
  <si>
    <t>uaxwsqsv epvgvqoqt,00014,a,1988-05-15 03:30:28,113,46.558295391478396,False</t>
  </si>
  <si>
    <t>uaxwsqsv epvgvqoqt,00014,O,2003-09-13 15:45:34,983,46.99422593058423,False</t>
  </si>
  <si>
    <t>cwvsllbdyfxy dndsy,00012,I,1992-03-11 01:24:28,745,35.693901054316264,False</t>
  </si>
  <si>
    <t>mfbeedsf kwrflgndi,00017,i,2015-05-19 13:46:46,87,61.914222592969736,False</t>
  </si>
  <si>
    <t>efxyoav arsvttwes,00009,e,2010-04-10 05:06:50,627,40.47831115605825,False</t>
  </si>
  <si>
    <t>fqzbhid ojbtqw,00002,S,1988-09-12 08:00:44,692,56.5813331522791,False</t>
  </si>
  <si>
    <t>kolgpazqte ngucucbgbqvhb,00019,V,2006-01-05 14:05:21,399,80.50177977110746,False</t>
  </si>
  <si>
    <t>olejlldtrqy ynswuyxjw,00004,r,2019-12-24 20:30:20,718,38.20982012843951,True</t>
  </si>
  <si>
    <t>cwvsllbdyfxy dndsy,00012,Q,2001-04-04 00:01:27,33,48.58635456793544,False</t>
  </si>
  <si>
    <t>gepevjpwsuocd iwxb,00018,D,1997-12-07 12:34:35,220,65.25636491903663,True</t>
  </si>
  <si>
    <t>bkzejhvnntfme zfssa,00008,D,2006-06-29 21:24:46,80,64.40682564879049,True</t>
  </si>
  <si>
    <t>gepevjpwsuocd iwxb,00018,P,1973-08-16 16:04:36,416,42.398616879977716,False</t>
  </si>
  <si>
    <t>dhirppzkka vitoakkd,00013,K,1995-03-19 04:22:43,382,78.49603529845491,True</t>
  </si>
  <si>
    <t>Column1</t>
  </si>
  <si>
    <t>Column2</t>
  </si>
  <si>
    <t>Column3</t>
  </si>
  <si>
    <t>Column4</t>
  </si>
  <si>
    <t>Column5</t>
  </si>
  <si>
    <t>Column6</t>
  </si>
  <si>
    <t>Column7</t>
  </si>
  <si>
    <t>name</t>
  </si>
  <si>
    <t>id</t>
  </si>
  <si>
    <t>s_value</t>
  </si>
  <si>
    <t>date</t>
  </si>
  <si>
    <t>i_value</t>
  </si>
  <si>
    <t>f_value</t>
  </si>
  <si>
    <t>b_value</t>
  </si>
  <si>
    <t/>
  </si>
  <si>
    <t>olejlldtrqy ynswuyxjw</t>
  </si>
  <si>
    <t>00004</t>
  </si>
  <si>
    <t>q</t>
  </si>
  <si>
    <t>1990-01-14 09:33:10</t>
  </si>
  <si>
    <t>641</t>
  </si>
  <si>
    <t>76.22825199909595</t>
  </si>
  <si>
    <t>False</t>
  </si>
  <si>
    <t>nafrz zamrqsrfub</t>
  </si>
  <si>
    <t>00006</t>
  </si>
  <si>
    <t>R</t>
  </si>
  <si>
    <t>2020-02-04 22:07:36</t>
  </si>
  <si>
    <t>168</t>
  </si>
  <si>
    <t>84.98414871022513</t>
  </si>
  <si>
    <t>True</t>
  </si>
  <si>
    <t>mfxi ywtgxau</t>
  </si>
  <si>
    <t>00015</t>
  </si>
  <si>
    <t>t</t>
  </si>
  <si>
    <t>1970-10-17 12:25:41</t>
  </si>
  <si>
    <t>118</t>
  </si>
  <si>
    <t>85.71850537640898</t>
  </si>
  <si>
    <t>fqzbhid ojbtqw</t>
  </si>
  <si>
    <t>00002</t>
  </si>
  <si>
    <t>i</t>
  </si>
  <si>
    <t>2018-02-26 03:41:50</t>
  </si>
  <si>
    <t>984</t>
  </si>
  <si>
    <t>36.576362842088386</t>
  </si>
  <si>
    <t>ctwudbczvnah yfkpcitkta</t>
  </si>
  <si>
    <t>00005</t>
  </si>
  <si>
    <t>j</t>
  </si>
  <si>
    <t>2018-10-07 12:27:47</t>
  </si>
  <si>
    <t>269</t>
  </si>
  <si>
    <t>20.622264166106824</t>
  </si>
  <si>
    <t>yngnevqqqxreo hvtztugcarjl</t>
  </si>
  <si>
    <t>00001</t>
  </si>
  <si>
    <t>k</t>
  </si>
  <si>
    <t>1976-04-30 22:52:56</t>
  </si>
  <si>
    <t>495</t>
  </si>
  <si>
    <t>92.6980388739312</t>
  </si>
  <si>
    <t>gepevjpwsuocd iwxb</t>
  </si>
  <si>
    <t>00018</t>
  </si>
  <si>
    <t>w</t>
  </si>
  <si>
    <t>2010-08-14 21:58:32</t>
  </si>
  <si>
    <t>56</t>
  </si>
  <si>
    <t>37.364638582422145</t>
  </si>
  <si>
    <t>uaxwsqsv epvgvqoqt</t>
  </si>
  <si>
    <t>00014</t>
  </si>
  <si>
    <t>a</t>
  </si>
  <si>
    <t>1988-05-15 03:30:28</t>
  </si>
  <si>
    <t>113</t>
  </si>
  <si>
    <t>46.558295391478396</t>
  </si>
  <si>
    <t>O</t>
  </si>
  <si>
    <t>2003-09-13 15:45:34</t>
  </si>
  <si>
    <t>983</t>
  </si>
  <si>
    <t>46.99422593058423</t>
  </si>
  <si>
    <t>cwvsllbdyfxy dndsy</t>
  </si>
  <si>
    <t>00012</t>
  </si>
  <si>
    <t>I</t>
  </si>
  <si>
    <t>1992-03-11 01:24:28</t>
  </si>
  <si>
    <t>745</t>
  </si>
  <si>
    <t>35.693901054316264</t>
  </si>
  <si>
    <t>mfbeedsf kwrflgndi</t>
  </si>
  <si>
    <t>00017</t>
  </si>
  <si>
    <t>2015-05-19 13:46:46</t>
  </si>
  <si>
    <t>87</t>
  </si>
  <si>
    <t>61.914222592969736</t>
  </si>
  <si>
    <t>efxyoav arsvttwes</t>
  </si>
  <si>
    <t>00009</t>
  </si>
  <si>
    <t>e</t>
  </si>
  <si>
    <t>2010-04-10 05:06:50</t>
  </si>
  <si>
    <t>627</t>
  </si>
  <si>
    <t>40.47831115605825</t>
  </si>
  <si>
    <t>S</t>
  </si>
  <si>
    <t>1988-09-12 08:00:44</t>
  </si>
  <si>
    <t>692</t>
  </si>
  <si>
    <t>56.5813331522791</t>
  </si>
  <si>
    <t>kolgpazqte ngucucbgbqvhb</t>
  </si>
  <si>
    <t>00019</t>
  </si>
  <si>
    <t>V</t>
  </si>
  <si>
    <t>2006-01-05 14:05:21</t>
  </si>
  <si>
    <t>399</t>
  </si>
  <si>
    <t>80.50177977110746</t>
  </si>
  <si>
    <t>r</t>
  </si>
  <si>
    <t>2019-12-24 20:30:20</t>
  </si>
  <si>
    <t>718</t>
  </si>
  <si>
    <t>38.20982012843951</t>
  </si>
  <si>
    <t>Q</t>
  </si>
  <si>
    <t>2001-04-04 00:01:27</t>
  </si>
  <si>
    <t>33</t>
  </si>
  <si>
    <t>48.58635456793544</t>
  </si>
  <si>
    <t>D</t>
  </si>
  <si>
    <t>1997-12-07 12:34:35</t>
  </si>
  <si>
    <t>220</t>
  </si>
  <si>
    <t>65.25636491903663</t>
  </si>
  <si>
    <t>bkzejhvnntfme zfssa</t>
  </si>
  <si>
    <t>00008</t>
  </si>
  <si>
    <t>2006-06-29 21:24:46</t>
  </si>
  <si>
    <t>80</t>
  </si>
  <si>
    <t>64.40682564879049</t>
  </si>
  <si>
    <t>P</t>
  </si>
  <si>
    <t>1973-08-16 16:04:36</t>
  </si>
  <si>
    <t>416</t>
  </si>
  <si>
    <t>42.398616879977716</t>
  </si>
  <si>
    <t>dhirppzkka vitoakkd</t>
  </si>
  <si>
    <t>00013</t>
  </si>
  <si>
    <t>K</t>
  </si>
  <si>
    <t>1995-03-19 04:22:43</t>
  </si>
  <si>
    <t>382</t>
  </si>
  <si>
    <t>78.49603529845491</t>
  </si>
  <si>
    <t>Blanks removed by using: ctrl+space ; ctrl+f; find blank; ctrl+a; remove table rows</t>
  </si>
  <si>
    <t>Dots in F column removed by using; ctrl+space; ctrl+f;ctrl+a;replace with; replace all</t>
  </si>
  <si>
    <t>o</t>
  </si>
  <si>
    <t>s</t>
  </si>
  <si>
    <t>v</t>
  </si>
  <si>
    <t>d</t>
  </si>
  <si>
    <t>p</t>
  </si>
  <si>
    <t>Letters is C set to lower with new column; lower(adjacent cell); fill; ctrl+space; ctrl+c; select original column; paste values</t>
  </si>
  <si>
    <t>Text in G color format with ctrl+space; conditional formattting; equal to True = GREEN; equal to  False=RED;</t>
  </si>
  <si>
    <t>unique_names</t>
  </si>
  <si>
    <t>occurances</t>
  </si>
  <si>
    <t>average_i</t>
  </si>
  <si>
    <t>average_f</t>
  </si>
  <si>
    <t>auto_row</t>
  </si>
  <si>
    <t>LOL3</t>
  </si>
  <si>
    <t>LOL4</t>
  </si>
  <si>
    <t>LOL1</t>
  </si>
  <si>
    <t>LOL2</t>
  </si>
  <si>
    <t>LOL5</t>
  </si>
  <si>
    <t>LOL6</t>
  </si>
  <si>
    <t>sum_f</t>
  </si>
  <si>
    <t>dynamic table (center across selection)</t>
  </si>
  <si>
    <t>Row Labels</t>
  </si>
  <si>
    <t>Grand Total</t>
  </si>
  <si>
    <t>Sum of i_value</t>
  </si>
  <si>
    <t>Sum of f_value</t>
  </si>
  <si>
    <t>Column Labels</t>
  </si>
  <si>
    <t>Count of b_value</t>
  </si>
  <si>
    <t>difference</t>
  </si>
  <si>
    <t>00020</t>
  </si>
  <si>
    <t>00021</t>
  </si>
  <si>
    <t>00022</t>
  </si>
  <si>
    <t>00023</t>
  </si>
  <si>
    <t>00024</t>
  </si>
  <si>
    <t>00025</t>
  </si>
  <si>
    <t>h</t>
  </si>
  <si>
    <t>2006-01-05 14:05:22</t>
  </si>
  <si>
    <t>2006-01-05 14:05:23</t>
  </si>
  <si>
    <t>2015-05-19 13:46:47</t>
  </si>
  <si>
    <t>2006-01-05 14:05:24</t>
  </si>
  <si>
    <t>2015-05-19 13:46:48</t>
  </si>
  <si>
    <t>b</t>
  </si>
  <si>
    <t>c</t>
  </si>
  <si>
    <t>A</t>
  </si>
  <si>
    <t>Row1 = sequence of letters</t>
  </si>
  <si>
    <t>COL C &amp; D = random letters</t>
  </si>
  <si>
    <t>COL E,F &amp; D = rand</t>
  </si>
  <si>
    <t>COL H sparkline</t>
  </si>
  <si>
    <t>x</t>
  </si>
  <si>
    <t>z</t>
  </si>
  <si>
    <t>Match A</t>
  </si>
  <si>
    <t>Match B</t>
  </si>
  <si>
    <t>Value</t>
  </si>
  <si>
    <t>y</t>
  </si>
  <si>
    <t>Dropdown demo</t>
  </si>
  <si>
    <t>layer1</t>
  </si>
  <si>
    <t>layer2</t>
  </si>
  <si>
    <t>Test</t>
  </si>
  <si>
    <t>SA</t>
  </si>
  <si>
    <t>SB</t>
  </si>
  <si>
    <t>SC</t>
  </si>
  <si>
    <t>offset demo</t>
  </si>
  <si>
    <t xml:space="preserve">+offset = </t>
  </si>
  <si>
    <t>Choice</t>
  </si>
  <si>
    <t>Choice demo</t>
  </si>
  <si>
    <t>Left</t>
  </si>
  <si>
    <t>Right</t>
  </si>
  <si>
    <t>Middle</t>
  </si>
  <si>
    <t>string</t>
  </si>
  <si>
    <t>demo</t>
  </si>
  <si>
    <t>Concat</t>
  </si>
  <si>
    <t>Len</t>
  </si>
  <si>
    <t>Find</t>
  </si>
  <si>
    <t>Trim</t>
  </si>
  <si>
    <t>Vlookup</t>
  </si>
  <si>
    <t>Match Demo (A&amp;B) = GET VALUE</t>
  </si>
  <si>
    <t>Vlookup (match codes because excel thinks a==A)</t>
  </si>
  <si>
    <t>Filter Demo (Pick random value from C and filter)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</si>
</sst>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ff-mono)"/>
    </font>
    <font>
      <b/>
      <u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42" applyNumberFormat="1" applyFont="1" applyAlignment="1">
      <alignment horizontal="center"/>
    </xf>
    <xf numFmtId="0" fontId="0" fillId="0" borderId="0" xfId="0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Continuous"/>
    </xf>
    <xf numFmtId="0" fontId="19" fillId="0" borderId="0" xfId="0" applyFont="1" applyAlignment="1">
      <alignment horizontal="centerContinuous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33" borderId="10" xfId="0" applyFill="1" applyBorder="1" applyAlignment="1">
      <alignment horizontal="left"/>
    </xf>
    <xf numFmtId="0" fontId="0" fillId="33" borderId="11" xfId="0" applyFill="1" applyBorder="1" applyAlignment="1">
      <alignment horizontal="left"/>
    </xf>
    <xf numFmtId="0" fontId="0" fillId="33" borderId="12" xfId="0" applyFill="1" applyBorder="1" applyAlignment="1">
      <alignment horizontal="left"/>
    </xf>
    <xf numFmtId="0" fontId="0" fillId="33" borderId="13" xfId="0" applyFill="1" applyBorder="1" applyAlignment="1">
      <alignment horizontal="left"/>
    </xf>
    <xf numFmtId="0" fontId="0" fillId="33" borderId="0" xfId="0" applyFill="1" applyAlignment="1">
      <alignment horizontal="left"/>
    </xf>
    <xf numFmtId="0" fontId="0" fillId="33" borderId="14" xfId="0" applyFill="1" applyBorder="1" applyAlignment="1">
      <alignment horizontal="left"/>
    </xf>
    <xf numFmtId="0" fontId="0" fillId="33" borderId="15" xfId="0" applyFill="1" applyBorder="1" applyAlignment="1">
      <alignment horizontal="left"/>
    </xf>
    <xf numFmtId="0" fontId="0" fillId="33" borderId="16" xfId="0" applyFill="1" applyBorder="1" applyAlignment="1">
      <alignment horizontal="left"/>
    </xf>
    <xf numFmtId="0" fontId="0" fillId="33" borderId="17" xfId="0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1" xfId="0" applyBorder="1" applyAlignment="1">
      <alignment horizontal="centerContinuous"/>
    </xf>
    <xf numFmtId="0" fontId="0" fillId="0" borderId="23" xfId="0" applyBorder="1" applyAlignment="1">
      <alignment horizontal="centerContinuous"/>
    </xf>
    <xf numFmtId="0" fontId="0" fillId="0" borderId="25" xfId="0" applyBorder="1"/>
    <xf numFmtId="0" fontId="0" fillId="0" borderId="28" xfId="0" applyBorder="1"/>
    <xf numFmtId="0" fontId="0" fillId="0" borderId="27" xfId="0" applyBorder="1" applyAlignment="1">
      <alignment horizontal="centerContinuous"/>
    </xf>
    <xf numFmtId="0" fontId="0" fillId="0" borderId="28" xfId="0" applyBorder="1" applyAlignment="1">
      <alignment horizontal="centerContinuous"/>
    </xf>
    <xf numFmtId="0" fontId="0" fillId="0" borderId="22" xfId="0" applyBorder="1" applyAlignment="1">
      <alignment horizontal="centerContinuous"/>
    </xf>
    <xf numFmtId="0" fontId="16" fillId="0" borderId="23" xfId="0" applyFont="1" applyBorder="1" applyAlignment="1">
      <alignment horizontal="center"/>
    </xf>
    <xf numFmtId="49" fontId="0" fillId="0" borderId="26" xfId="0" applyNumberFormat="1" applyBorder="1"/>
    <xf numFmtId="0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8" xfId="0" applyBorder="1"/>
    <xf numFmtId="0" fontId="0" fillId="0" borderId="18" xfId="0" applyBorder="1" applyAlignment="1">
      <alignment horizontal="centerContinuous"/>
    </xf>
    <xf numFmtId="0" fontId="0" fillId="0" borderId="25" xfId="0" applyBorder="1" applyAlignment="1">
      <alignment horizontal="centerContinuous"/>
    </xf>
    <xf numFmtId="0" fontId="0" fillId="0" borderId="10" xfId="0" applyBorder="1" applyAlignment="1"/>
    <xf numFmtId="0" fontId="0" fillId="0" borderId="21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24" xfId="0" applyBorder="1" applyAlignment="1"/>
    <xf numFmtId="0" fontId="0" fillId="0" borderId="24" xfId="0" applyFill="1" applyBorder="1" applyAlignment="1"/>
    <xf numFmtId="0" fontId="0" fillId="0" borderId="26" xfId="0" applyFill="1" applyBorder="1" applyAlignment="1"/>
    <xf numFmtId="0" fontId="0" fillId="0" borderId="0" xfId="0" applyBorder="1" applyAlignment="1">
      <alignment horizontal="center"/>
    </xf>
    <xf numFmtId="0" fontId="0" fillId="0" borderId="26" xfId="0" applyBorder="1" applyAlignment="1"/>
    <xf numFmtId="49" fontId="0" fillId="0" borderId="18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0" fontId="0" fillId="0" borderId="0" xfId="0" applyFill="1" applyBorder="1" applyAlignment="1"/>
    <xf numFmtId="0" fontId="0" fillId="0" borderId="0" xfId="0" applyBorder="1" applyAlignment="1"/>
    <xf numFmtId="0" fontId="0" fillId="0" borderId="31" xfId="0" applyBorder="1" applyAlignment="1">
      <alignment horizontal="centerContinuous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Continuous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164" formatCode="0.00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/m/yyyy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PivotTable Style 1" table="0" count="0" xr9:uid="{0E741B30-3A74-46BC-915D-9299944A7C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12</xdr:row>
          <xdr:rowOff>57150</xdr:rowOff>
        </xdr:from>
        <xdr:to>
          <xdr:col>12</xdr:col>
          <xdr:colOff>190500</xdr:colOff>
          <xdr:row>13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ho" refreshedDate="44907.420298958335" createdVersion="8" refreshedVersion="8" minRefreshableVersion="3" recordCount="206" xr:uid="{A9D8A4C5-BF2F-47C4-AAFF-A1AAEDB8E458}">
  <cacheSource type="worksheet">
    <worksheetSource name="test_table"/>
  </cacheSource>
  <cacheFields count="9">
    <cacheField name="name" numFmtId="49">
      <sharedItems count="20">
        <s v="bkzejhvnntfme zfssa"/>
        <s v="ctwudbczvnah yfkpcitkta"/>
        <s v="cwvsllbdyfxy dndsy"/>
        <s v="dhirppzkka vitoakkd"/>
        <s v="efxyoav arsvttwes"/>
        <s v="fqzbhid ojbtqw"/>
        <s v="gepevjpwsuocd iwxb"/>
        <s v="kolgpazqte ngucucbgbqvhb"/>
        <s v="LOL1"/>
        <s v="LOL2"/>
        <s v="LOL3"/>
        <s v="LOL4"/>
        <s v="LOL5"/>
        <s v="LOL6"/>
        <s v="mfbeedsf kwrflgndi"/>
        <s v="mfxi ywtgxau"/>
        <s v="nafrz zamrqsrfub"/>
        <s v="olejlldtrqy ynswuyxjw"/>
        <s v="uaxwsqsv epvgvqoqt"/>
        <s v="yngnevqqqxreo hvtztugcarjl"/>
      </sharedItems>
    </cacheField>
    <cacheField name="id" numFmtId="49">
      <sharedItems/>
    </cacheField>
    <cacheField name="s_value" numFmtId="49">
      <sharedItems containsBlank="1" count="16">
        <s v="d"/>
        <s v="j"/>
        <s v="i"/>
        <s v="q"/>
        <s v="k"/>
        <s v="e"/>
        <s v="s"/>
        <s v="w"/>
        <s v="p"/>
        <s v="v"/>
        <s v="t"/>
        <s v="h"/>
        <s v="r"/>
        <s v="a"/>
        <s v="o"/>
        <m u="1"/>
      </sharedItems>
    </cacheField>
    <cacheField name="date" numFmtId="14">
      <sharedItems/>
    </cacheField>
    <cacheField name="i_value" numFmtId="1">
      <sharedItems containsSemiMixedTypes="0" containsString="0" containsNumber="1" containsInteger="1" minValue="66" maxValue="1968"/>
    </cacheField>
    <cacheField name="f_value" numFmtId="164">
      <sharedItems containsSemiMixedTypes="0" containsString="0" containsNumber="1" minValue="20.622264166106799" maxValue="728.26481713559565"/>
    </cacheField>
    <cacheField name="b_value" numFmtId="0">
      <sharedItems containsBlank="1" count="3">
        <s v="True"/>
        <s v="False"/>
        <m u="1"/>
      </sharedItems>
    </cacheField>
    <cacheField name="Field1" numFmtId="0" formula="i_value-f_value" databaseField="0"/>
    <cacheField name="Field2" numFmtId="0" formula=" SUM(i_value) - SUM(f_value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"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0"/>
    <s v="00008"/>
    <x v="0"/>
    <s v="2006-06-29 21:24:46"/>
    <n v="160"/>
    <n v="64.406825648790402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1"/>
    <s v="00005"/>
    <x v="1"/>
    <s v="2018-10-07 12:27:47"/>
    <n v="538"/>
    <n v="20.622264166106799"/>
    <x v="0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2"/>
    <s v="1992-03-11 01:24:28"/>
    <n v="1490"/>
    <n v="35.6939010543162"/>
    <x v="1"/>
  </r>
  <r>
    <x v="2"/>
    <s v="00012"/>
    <x v="3"/>
    <s v="2001-04-04 00:01:27"/>
    <n v="66"/>
    <n v="48.586354567935402"/>
    <x v="1"/>
  </r>
  <r>
    <x v="2"/>
    <s v="00012"/>
    <x v="3"/>
    <s v="2001-04-04 00:01:27"/>
    <n v="66"/>
    <n v="48.586354567935402"/>
    <x v="1"/>
  </r>
  <r>
    <x v="2"/>
    <s v="00012"/>
    <x v="3"/>
    <s v="2001-04-04 00:01:27"/>
    <n v="66"/>
    <n v="48.586354567935402"/>
    <x v="1"/>
  </r>
  <r>
    <x v="2"/>
    <s v="00012"/>
    <x v="3"/>
    <s v="2001-04-04 00:01:27"/>
    <n v="66"/>
    <n v="48.586354567935402"/>
    <x v="1"/>
  </r>
  <r>
    <x v="2"/>
    <s v="00012"/>
    <x v="3"/>
    <s v="2001-04-04 00:01:27"/>
    <n v="66"/>
    <n v="48.586354567935402"/>
    <x v="1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3"/>
    <s v="00013"/>
    <x v="4"/>
    <s v="1995-03-19 04:22:43"/>
    <n v="764"/>
    <n v="78.496035298454899"/>
    <x v="0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4"/>
    <s v="00009"/>
    <x v="5"/>
    <s v="2010-04-10 05:06:50"/>
    <n v="1254"/>
    <n v="40.478311156058197"/>
    <x v="1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2"/>
    <s v="2018-02-26 03:41:50"/>
    <n v="1968"/>
    <n v="36.576362842088301"/>
    <x v="0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5"/>
    <s v="00002"/>
    <x v="6"/>
    <s v="1988-09-12 08:00:44"/>
    <n v="1384"/>
    <n v="56.5813331522791"/>
    <x v="1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7"/>
    <s v="2010-08-14 21:58:32"/>
    <n v="112"/>
    <n v="37.364638582422103"/>
    <x v="0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8"/>
    <s v="1973-08-16 16:04:36"/>
    <n v="832"/>
    <n v="42.398616879977702"/>
    <x v="1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6"/>
    <s v="00018"/>
    <x v="0"/>
    <s v="1997-12-07 12:34:35"/>
    <n v="440"/>
    <n v="65.256364919036599"/>
    <x v="0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7"/>
    <s v="00019"/>
    <x v="9"/>
    <s v="2006-01-05 14:05:21"/>
    <n v="798"/>
    <n v="80.501779771107394"/>
    <x v="1"/>
  </r>
  <r>
    <x v="8"/>
    <s v="00020"/>
    <x v="6"/>
    <s v="2006-01-05 14:05:22"/>
    <n v="142"/>
    <n v="217.76147632369836"/>
    <x v="1"/>
  </r>
  <r>
    <x v="9"/>
    <s v="00021"/>
    <x v="10"/>
    <s v="2015-05-19 13:46:46"/>
    <n v="627"/>
    <n v="606.8929846227303"/>
    <x v="1"/>
  </r>
  <r>
    <x v="10"/>
    <s v="00022"/>
    <x v="11"/>
    <s v="2006-01-05 14:05:23"/>
    <n v="923"/>
    <n v="125.15445574367972"/>
    <x v="0"/>
  </r>
  <r>
    <x v="11"/>
    <s v="00023"/>
    <x v="3"/>
    <s v="2015-05-19 13:46:47"/>
    <n v="770"/>
    <n v="435.44252865440018"/>
    <x v="0"/>
  </r>
  <r>
    <x v="12"/>
    <s v="00024"/>
    <x v="12"/>
    <s v="2006-01-05 14:05:24"/>
    <n v="371"/>
    <n v="205.64710410198995"/>
    <x v="1"/>
  </r>
  <r>
    <x v="13"/>
    <s v="00025"/>
    <x v="13"/>
    <s v="2015-05-19 13:46:48"/>
    <n v="991"/>
    <n v="728.26481713559565"/>
    <x v="0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4"/>
    <s v="00017"/>
    <x v="2"/>
    <s v="2015-05-19 13:46:46"/>
    <n v="174"/>
    <n v="61.914222592969701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5"/>
    <s v="00015"/>
    <x v="10"/>
    <s v="1970-10-17 12:25:41"/>
    <n v="236"/>
    <n v="85.718505376408899"/>
    <x v="1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6"/>
    <s v="00006"/>
    <x v="12"/>
    <s v="2020-02-04 22:07:36"/>
    <n v="336"/>
    <n v="84.984148710225099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12"/>
    <s v="2019-12-24 20:30:20"/>
    <n v="1436"/>
    <n v="38.209820128439503"/>
    <x v="0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7"/>
    <s v="00004"/>
    <x v="3"/>
    <s v="1990-01-14 09:33:10"/>
    <n v="1282"/>
    <n v="76.2282519990959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3"/>
    <s v="1988-05-15 03:30:28"/>
    <n v="226"/>
    <n v="46.558295391478303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8"/>
    <s v="00014"/>
    <x v="14"/>
    <s v="2003-09-13 15:45:34"/>
    <n v="1966"/>
    <n v="46.9942259305842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  <r>
    <x v="19"/>
    <s v="00001"/>
    <x v="4"/>
    <s v="1976-04-30 22:52:56"/>
    <n v="990"/>
    <n v="92.69803887393119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19D624-AA1A-4683-87D4-05F657BB042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J24" firstHeaderRow="0" firstDataRow="1" firstDataCol="1"/>
  <pivotFields count="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f_value" fld="5" baseField="0" baseItem="0"/>
    <dataField name="Sum of i_value" fld="4" baseField="0" baseItem="0"/>
    <dataField name="difference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28904-E86D-4B04-96B2-12FB53A3CA9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51" firstHeaderRow="1" firstDataRow="2" firstDataCol="1"/>
  <pivotFields count="9">
    <pivotField axis="axisRow" showAll="0" sortType="ascending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Row" showAll="0">
      <items count="17">
        <item x="13"/>
        <item x="0"/>
        <item x="5"/>
        <item x="2"/>
        <item x="1"/>
        <item x="4"/>
        <item x="14"/>
        <item x="8"/>
        <item x="3"/>
        <item x="12"/>
        <item x="6"/>
        <item x="10"/>
        <item x="9"/>
        <item x="7"/>
        <item m="1" x="15"/>
        <item x="11"/>
        <item t="default"/>
      </items>
    </pivotField>
    <pivotField showAll="0"/>
    <pivotField showAll="0"/>
    <pivotField showAll="0"/>
    <pivotField axis="axisCol" dataField="1" showAll="0">
      <items count="4">
        <item x="1"/>
        <item x="0"/>
        <item m="1" x="2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7">
    <i>
      <x/>
    </i>
    <i r="1">
      <x v="1"/>
    </i>
    <i>
      <x v="1"/>
    </i>
    <i r="1">
      <x v="4"/>
    </i>
    <i>
      <x v="2"/>
    </i>
    <i r="1">
      <x v="3"/>
    </i>
    <i r="1">
      <x v="8"/>
    </i>
    <i>
      <x v="3"/>
    </i>
    <i r="1">
      <x v="5"/>
    </i>
    <i>
      <x v="4"/>
    </i>
    <i r="1">
      <x v="2"/>
    </i>
    <i>
      <x v="5"/>
    </i>
    <i r="1">
      <x v="3"/>
    </i>
    <i r="1">
      <x v="10"/>
    </i>
    <i>
      <x v="6"/>
    </i>
    <i r="1">
      <x v="1"/>
    </i>
    <i r="1">
      <x v="7"/>
    </i>
    <i r="1">
      <x v="13"/>
    </i>
    <i>
      <x v="7"/>
    </i>
    <i r="1">
      <x v="12"/>
    </i>
    <i>
      <x v="8"/>
    </i>
    <i r="1">
      <x v="10"/>
    </i>
    <i>
      <x v="9"/>
    </i>
    <i r="1">
      <x v="11"/>
    </i>
    <i>
      <x v="10"/>
    </i>
    <i r="1">
      <x v="15"/>
    </i>
    <i>
      <x v="11"/>
    </i>
    <i r="1">
      <x v="8"/>
    </i>
    <i>
      <x v="12"/>
    </i>
    <i r="1">
      <x v="9"/>
    </i>
    <i>
      <x v="13"/>
    </i>
    <i r="1">
      <x/>
    </i>
    <i>
      <x v="14"/>
    </i>
    <i r="1">
      <x v="3"/>
    </i>
    <i>
      <x v="15"/>
    </i>
    <i r="1">
      <x v="11"/>
    </i>
    <i>
      <x v="16"/>
    </i>
    <i r="1">
      <x v="9"/>
    </i>
    <i>
      <x v="17"/>
    </i>
    <i r="1">
      <x v="8"/>
    </i>
    <i r="1">
      <x v="9"/>
    </i>
    <i>
      <x v="18"/>
    </i>
    <i r="1">
      <x/>
    </i>
    <i r="1">
      <x v="6"/>
    </i>
    <i>
      <x v="19"/>
    </i>
    <i r="1">
      <x v="5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Count of b_value" fld="6" subtotal="count" baseField="0" baseItem="0"/>
  </dataFields>
  <formats count="6">
    <format dxfId="8">
      <pivotArea outline="0" collapsedLevelsAreSubtotals="1" fieldPosition="0">
        <references count="1">
          <reference field="6" count="2" selected="0">
            <x v="0"/>
            <x v="1"/>
          </reference>
        </references>
      </pivotArea>
    </format>
    <format dxfId="7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6">
      <pivotArea outline="0" collapsedLevelsAreSubtotals="1" fieldPosition="0">
        <references count="1">
          <reference field="6" count="1" selected="0">
            <x v="2"/>
          </reference>
        </references>
      </pivotArea>
    </format>
    <format dxfId="5">
      <pivotArea grandCol="1" outline="0" collapsedLevelsAreSubtotals="1" fieldPosition="0"/>
    </format>
    <format dxfId="4">
      <pivotArea field="6" type="button" dataOnly="0" labelOnly="1" outline="0" axis="axisCol" fieldPosition="0"/>
    </format>
    <format dxfId="3">
      <pivotArea field="6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16" applyNumberFormats="0" applyBorderFormats="0" applyFontFormats="0" applyPatternFormats="0" applyAlignmentFormats="0" applyWidthHeightFormats="0">
  <queryTableRefresh nextId="9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cel_test" displayName="excel_test" ref="A1:G403" tableType="queryTable" totalsRowShown="0">
  <autoFilter ref="A1:G403" xr:uid="{00000000-0009-0000-0100-000001000000}"/>
  <tableColumns count="7">
    <tableColumn id="1" xr3:uid="{00000000-0010-0000-0000-000001000000}" uniqueName="1" name="Column1" queryTableFieldId="1" dataDxfId="22"/>
    <tableColumn id="2" xr3:uid="{00000000-0010-0000-0000-000002000000}" uniqueName="2" name="Column2" queryTableFieldId="2" dataDxfId="21"/>
    <tableColumn id="3" xr3:uid="{00000000-0010-0000-0000-000003000000}" uniqueName="3" name="Column3" queryTableFieldId="3" dataDxfId="20"/>
    <tableColumn id="4" xr3:uid="{00000000-0010-0000-0000-000004000000}" uniqueName="4" name="Column4" queryTableFieldId="4" dataDxfId="19"/>
    <tableColumn id="5" xr3:uid="{00000000-0010-0000-0000-000005000000}" uniqueName="5" name="Column5" queryTableFieldId="5" dataDxfId="18"/>
    <tableColumn id="6" xr3:uid="{00000000-0010-0000-0000-000006000000}" uniqueName="6" name="Column6" queryTableFieldId="6" dataDxfId="17"/>
    <tableColumn id="7" xr3:uid="{00000000-0010-0000-0000-000007000000}" uniqueName="7" name="Column7" queryTableFieldId="7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est_table" displayName="test_table" ref="A1:G207" tableType="queryTable" totalsRowShown="0">
  <autoFilter ref="A1:G207" xr:uid="{00000000-0009-0000-0100-000002000000}"/>
  <sortState xmlns:xlrd2="http://schemas.microsoft.com/office/spreadsheetml/2017/richdata2" ref="A2:G207">
    <sortCondition ref="A1:A207"/>
  </sortState>
  <tableColumns count="7">
    <tableColumn id="1" xr3:uid="{00000000-0010-0000-0100-000001000000}" uniqueName="1" name="name" queryTableFieldId="1" dataDxfId="15"/>
    <tableColumn id="2" xr3:uid="{00000000-0010-0000-0100-000002000000}" uniqueName="2" name="id" queryTableFieldId="2" dataDxfId="14"/>
    <tableColumn id="3" xr3:uid="{00000000-0010-0000-0100-000003000000}" uniqueName="3" name="s_value" queryTableFieldId="3" dataDxfId="13"/>
    <tableColumn id="4" xr3:uid="{00000000-0010-0000-0100-000004000000}" uniqueName="4" name="date" queryTableFieldId="4" dataDxfId="12"/>
    <tableColumn id="5" xr3:uid="{00000000-0010-0000-0100-000005000000}" uniqueName="5" name="i_value" queryTableFieldId="5" dataDxfId="11"/>
    <tableColumn id="6" xr3:uid="{00000000-0010-0000-0100-000006000000}" uniqueName="6" name="f_value" queryTableFieldId="6" dataDxfId="10"/>
    <tableColumn id="7" xr3:uid="{00000000-0010-0000-0100-000007000000}" uniqueName="7" name="b_value" queryTableFieldId="7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1"/>
  <sheetViews>
    <sheetView workbookViewId="0"/>
  </sheetViews>
  <sheetFormatPr defaultRowHeight="15"/>
  <sheetData>
    <row r="1" spans="1:1">
      <c r="A1" t="s">
        <v>0</v>
      </c>
    </row>
    <row r="3" spans="1:1">
      <c r="A3" t="s">
        <v>1</v>
      </c>
    </row>
    <row r="5" spans="1:1">
      <c r="A5" t="s">
        <v>2</v>
      </c>
    </row>
    <row r="7" spans="1:1">
      <c r="A7" t="s">
        <v>3</v>
      </c>
    </row>
    <row r="9" spans="1:1">
      <c r="A9" t="s">
        <v>4</v>
      </c>
    </row>
    <row r="11" spans="1:1">
      <c r="A11" t="s">
        <v>2</v>
      </c>
    </row>
    <row r="13" spans="1:1">
      <c r="A13" t="s">
        <v>5</v>
      </c>
    </row>
    <row r="15" spans="1:1">
      <c r="A15" t="s">
        <v>6</v>
      </c>
    </row>
    <row r="17" spans="1:1">
      <c r="A17" t="s">
        <v>7</v>
      </c>
    </row>
    <row r="19" spans="1:1">
      <c r="A19" t="s">
        <v>4</v>
      </c>
    </row>
    <row r="21" spans="1:1">
      <c r="A21" t="s">
        <v>8</v>
      </c>
    </row>
    <row r="23" spans="1:1">
      <c r="A23" t="s">
        <v>7</v>
      </c>
    </row>
    <row r="25" spans="1:1">
      <c r="A25" t="s">
        <v>9</v>
      </c>
    </row>
    <row r="27" spans="1:1">
      <c r="A27" t="s">
        <v>10</v>
      </c>
    </row>
    <row r="29" spans="1:1">
      <c r="A29" t="s">
        <v>11</v>
      </c>
    </row>
    <row r="31" spans="1:1">
      <c r="A31" t="s">
        <v>12</v>
      </c>
    </row>
    <row r="33" spans="1:1">
      <c r="A33" t="s">
        <v>13</v>
      </c>
    </row>
    <row r="35" spans="1:1">
      <c r="A35" t="s">
        <v>10</v>
      </c>
    </row>
    <row r="37" spans="1:1">
      <c r="A37" t="s">
        <v>14</v>
      </c>
    </row>
    <row r="39" spans="1:1">
      <c r="A39" t="s">
        <v>7</v>
      </c>
    </row>
    <row r="41" spans="1:1">
      <c r="A41" t="s">
        <v>11</v>
      </c>
    </row>
    <row r="43" spans="1:1">
      <c r="A43" t="s">
        <v>1</v>
      </c>
    </row>
    <row r="45" spans="1:1">
      <c r="A45" t="s">
        <v>5</v>
      </c>
    </row>
    <row r="47" spans="1:1">
      <c r="A47" t="s">
        <v>6</v>
      </c>
    </row>
    <row r="49" spans="1:1">
      <c r="A49" t="s">
        <v>15</v>
      </c>
    </row>
    <row r="51" spans="1:1">
      <c r="A51" t="s">
        <v>16</v>
      </c>
    </row>
    <row r="53" spans="1:1">
      <c r="A53" t="s">
        <v>15</v>
      </c>
    </row>
    <row r="55" spans="1:1">
      <c r="A55" t="s">
        <v>13</v>
      </c>
    </row>
    <row r="57" spans="1:1">
      <c r="A57" t="s">
        <v>11</v>
      </c>
    </row>
    <row r="59" spans="1:1">
      <c r="A59" t="s">
        <v>7</v>
      </c>
    </row>
    <row r="61" spans="1:1">
      <c r="A61" t="s">
        <v>10</v>
      </c>
    </row>
    <row r="63" spans="1:1">
      <c r="A63" t="s">
        <v>15</v>
      </c>
    </row>
    <row r="65" spans="1:1">
      <c r="A65" t="s">
        <v>10</v>
      </c>
    </row>
    <row r="67" spans="1:1">
      <c r="A67" t="s">
        <v>1</v>
      </c>
    </row>
    <row r="69" spans="1:1">
      <c r="A69" t="s">
        <v>17</v>
      </c>
    </row>
    <row r="71" spans="1:1">
      <c r="A71" t="s">
        <v>3</v>
      </c>
    </row>
    <row r="73" spans="1:1">
      <c r="A73" t="s">
        <v>7</v>
      </c>
    </row>
    <row r="75" spans="1:1">
      <c r="A75" t="s">
        <v>17</v>
      </c>
    </row>
    <row r="77" spans="1:1">
      <c r="A77" t="s">
        <v>16</v>
      </c>
    </row>
    <row r="79" spans="1:1">
      <c r="A79" t="s">
        <v>18</v>
      </c>
    </row>
    <row r="81" spans="1:1">
      <c r="A81" t="s">
        <v>9</v>
      </c>
    </row>
    <row r="83" spans="1:1">
      <c r="A83" t="s">
        <v>19</v>
      </c>
    </row>
    <row r="85" spans="1:1">
      <c r="A85" t="s">
        <v>9</v>
      </c>
    </row>
    <row r="87" spans="1:1">
      <c r="A87" t="s">
        <v>9</v>
      </c>
    </row>
    <row r="89" spans="1:1">
      <c r="A89" t="s">
        <v>2</v>
      </c>
    </row>
    <row r="91" spans="1:1">
      <c r="A91" t="s">
        <v>15</v>
      </c>
    </row>
    <row r="93" spans="1:1">
      <c r="A93" t="s">
        <v>4</v>
      </c>
    </row>
    <row r="95" spans="1:1">
      <c r="A95" t="s">
        <v>5</v>
      </c>
    </row>
    <row r="97" spans="1:1">
      <c r="A97" t="s">
        <v>4</v>
      </c>
    </row>
    <row r="99" spans="1:1">
      <c r="A99" t="s">
        <v>12</v>
      </c>
    </row>
    <row r="101" spans="1:1">
      <c r="A101" t="s">
        <v>3</v>
      </c>
    </row>
    <row r="103" spans="1:1">
      <c r="A103" t="s">
        <v>15</v>
      </c>
    </row>
    <row r="105" spans="1:1">
      <c r="A105" t="s">
        <v>7</v>
      </c>
    </row>
    <row r="107" spans="1:1">
      <c r="A107" t="s">
        <v>18</v>
      </c>
    </row>
    <row r="109" spans="1:1">
      <c r="A109" t="s">
        <v>8</v>
      </c>
    </row>
    <row r="111" spans="1:1">
      <c r="A111" t="s">
        <v>19</v>
      </c>
    </row>
    <row r="113" spans="1:1">
      <c r="A113" t="s">
        <v>11</v>
      </c>
    </row>
    <row r="115" spans="1:1">
      <c r="A115" t="s">
        <v>15</v>
      </c>
    </row>
    <row r="117" spans="1:1">
      <c r="A117" t="s">
        <v>2</v>
      </c>
    </row>
    <row r="119" spans="1:1">
      <c r="A119" t="s">
        <v>19</v>
      </c>
    </row>
    <row r="121" spans="1:1">
      <c r="A121" t="s">
        <v>6</v>
      </c>
    </row>
    <row r="123" spans="1:1">
      <c r="A123" t="s">
        <v>9</v>
      </c>
    </row>
    <row r="125" spans="1:1">
      <c r="A125" t="s">
        <v>5</v>
      </c>
    </row>
    <row r="127" spans="1:1">
      <c r="A127" t="s">
        <v>12</v>
      </c>
    </row>
    <row r="129" spans="1:1">
      <c r="A129" t="s">
        <v>3</v>
      </c>
    </row>
    <row r="131" spans="1:1">
      <c r="A131" t="s">
        <v>6</v>
      </c>
    </row>
    <row r="133" spans="1:1">
      <c r="A133" t="s">
        <v>8</v>
      </c>
    </row>
    <row r="135" spans="1:1">
      <c r="A135" t="s">
        <v>6</v>
      </c>
    </row>
    <row r="137" spans="1:1">
      <c r="A137" t="s">
        <v>15</v>
      </c>
    </row>
    <row r="139" spans="1:1">
      <c r="A139" t="s">
        <v>11</v>
      </c>
    </row>
    <row r="141" spans="1:1">
      <c r="A141" t="s">
        <v>4</v>
      </c>
    </row>
    <row r="143" spans="1:1">
      <c r="A143" t="s">
        <v>5</v>
      </c>
    </row>
    <row r="145" spans="1:1">
      <c r="A145" t="s">
        <v>8</v>
      </c>
    </row>
    <row r="147" spans="1:1">
      <c r="A147" t="s">
        <v>9</v>
      </c>
    </row>
    <row r="149" spans="1:1">
      <c r="A149" t="s">
        <v>9</v>
      </c>
    </row>
    <row r="151" spans="1:1">
      <c r="A151" t="s">
        <v>1</v>
      </c>
    </row>
    <row r="153" spans="1:1">
      <c r="A153" t="s">
        <v>6</v>
      </c>
    </row>
    <row r="155" spans="1:1">
      <c r="A155" t="s">
        <v>12</v>
      </c>
    </row>
    <row r="157" spans="1:1">
      <c r="A157" t="s">
        <v>10</v>
      </c>
    </row>
    <row r="159" spans="1:1">
      <c r="A159" t="s">
        <v>2</v>
      </c>
    </row>
    <row r="161" spans="1:1">
      <c r="A161" t="s">
        <v>2</v>
      </c>
    </row>
    <row r="163" spans="1:1">
      <c r="A163" t="s">
        <v>18</v>
      </c>
    </row>
    <row r="165" spans="1:1">
      <c r="A165" t="s">
        <v>2</v>
      </c>
    </row>
    <row r="167" spans="1:1">
      <c r="A167" t="s">
        <v>14</v>
      </c>
    </row>
    <row r="169" spans="1:1">
      <c r="A169" t="s">
        <v>1</v>
      </c>
    </row>
    <row r="171" spans="1:1">
      <c r="A171" t="s">
        <v>14</v>
      </c>
    </row>
    <row r="173" spans="1:1">
      <c r="A173" t="s">
        <v>13</v>
      </c>
    </row>
    <row r="175" spans="1:1">
      <c r="A175" t="s">
        <v>1</v>
      </c>
    </row>
    <row r="177" spans="1:1">
      <c r="A177" t="s">
        <v>11</v>
      </c>
    </row>
    <row r="179" spans="1:1">
      <c r="A179" t="s">
        <v>9</v>
      </c>
    </row>
    <row r="181" spans="1:1">
      <c r="A181" t="s">
        <v>19</v>
      </c>
    </row>
    <row r="183" spans="1:1">
      <c r="A183" t="s">
        <v>2</v>
      </c>
    </row>
    <row r="185" spans="1:1">
      <c r="A185" t="s">
        <v>6</v>
      </c>
    </row>
    <row r="187" spans="1:1">
      <c r="A187" t="s">
        <v>13</v>
      </c>
    </row>
    <row r="189" spans="1:1">
      <c r="A189" t="s">
        <v>17</v>
      </c>
    </row>
    <row r="191" spans="1:1">
      <c r="A191" t="s">
        <v>20</v>
      </c>
    </row>
    <row r="193" spans="1:1">
      <c r="A193" t="s">
        <v>15</v>
      </c>
    </row>
    <row r="195" spans="1:1">
      <c r="A195" t="s">
        <v>3</v>
      </c>
    </row>
    <row r="197" spans="1:1">
      <c r="A197" t="s">
        <v>6</v>
      </c>
    </row>
    <row r="199" spans="1:1">
      <c r="A199" t="s">
        <v>14</v>
      </c>
    </row>
    <row r="201" spans="1:1">
      <c r="A201" t="s">
        <v>14</v>
      </c>
    </row>
    <row r="203" spans="1:1">
      <c r="A203" t="s">
        <v>20</v>
      </c>
    </row>
    <row r="205" spans="1:1">
      <c r="A205" t="s">
        <v>3</v>
      </c>
    </row>
    <row r="207" spans="1:1">
      <c r="A207" t="s">
        <v>1</v>
      </c>
    </row>
    <row r="209" spans="1:1">
      <c r="A209" t="s">
        <v>3</v>
      </c>
    </row>
    <row r="211" spans="1:1">
      <c r="A211" t="s">
        <v>17</v>
      </c>
    </row>
    <row r="213" spans="1:1">
      <c r="A213" t="s">
        <v>14</v>
      </c>
    </row>
    <row r="215" spans="1:1">
      <c r="A215" t="s">
        <v>12</v>
      </c>
    </row>
    <row r="217" spans="1:1">
      <c r="A217" t="s">
        <v>11</v>
      </c>
    </row>
    <row r="219" spans="1:1">
      <c r="A219" t="s">
        <v>16</v>
      </c>
    </row>
    <row r="221" spans="1:1">
      <c r="A221" t="s">
        <v>10</v>
      </c>
    </row>
    <row r="223" spans="1:1">
      <c r="A223" t="s">
        <v>3</v>
      </c>
    </row>
    <row r="225" spans="1:1">
      <c r="A225" t="s">
        <v>10</v>
      </c>
    </row>
    <row r="227" spans="1:1">
      <c r="A227" t="s">
        <v>18</v>
      </c>
    </row>
    <row r="229" spans="1:1">
      <c r="A229" t="s">
        <v>4</v>
      </c>
    </row>
    <row r="231" spans="1:1">
      <c r="A231" t="s">
        <v>14</v>
      </c>
    </row>
    <row r="233" spans="1:1">
      <c r="A233" t="s">
        <v>18</v>
      </c>
    </row>
    <row r="235" spans="1:1">
      <c r="A235" t="s">
        <v>1</v>
      </c>
    </row>
    <row r="237" spans="1:1">
      <c r="A237" t="s">
        <v>8</v>
      </c>
    </row>
    <row r="239" spans="1:1">
      <c r="A239" t="s">
        <v>13</v>
      </c>
    </row>
    <row r="241" spans="1:1">
      <c r="A241" t="s">
        <v>6</v>
      </c>
    </row>
    <row r="243" spans="1:1">
      <c r="A243" t="s">
        <v>2</v>
      </c>
    </row>
    <row r="245" spans="1:1">
      <c r="A245" t="s">
        <v>11</v>
      </c>
    </row>
    <row r="247" spans="1:1">
      <c r="A247" t="s">
        <v>15</v>
      </c>
    </row>
    <row r="249" spans="1:1">
      <c r="A249" t="s">
        <v>18</v>
      </c>
    </row>
    <row r="251" spans="1:1">
      <c r="A251" t="s">
        <v>5</v>
      </c>
    </row>
    <row r="253" spans="1:1">
      <c r="A253" t="s">
        <v>8</v>
      </c>
    </row>
    <row r="255" spans="1:1">
      <c r="A255" t="s">
        <v>4</v>
      </c>
    </row>
    <row r="257" spans="1:1">
      <c r="A257" t="s">
        <v>5</v>
      </c>
    </row>
    <row r="259" spans="1:1">
      <c r="A259" t="s">
        <v>11</v>
      </c>
    </row>
    <row r="261" spans="1:1">
      <c r="A261" t="s">
        <v>9</v>
      </c>
    </row>
    <row r="263" spans="1:1">
      <c r="A263" t="s">
        <v>14</v>
      </c>
    </row>
    <row r="265" spans="1:1">
      <c r="A265" t="s">
        <v>14</v>
      </c>
    </row>
    <row r="267" spans="1:1">
      <c r="A267" t="s">
        <v>16</v>
      </c>
    </row>
    <row r="269" spans="1:1">
      <c r="A269" t="s">
        <v>15</v>
      </c>
    </row>
    <row r="271" spans="1:1">
      <c r="A271" t="s">
        <v>4</v>
      </c>
    </row>
    <row r="273" spans="1:1">
      <c r="A273" t="s">
        <v>11</v>
      </c>
    </row>
    <row r="275" spans="1:1">
      <c r="A275" t="s">
        <v>12</v>
      </c>
    </row>
    <row r="277" spans="1:1">
      <c r="A277" t="s">
        <v>11</v>
      </c>
    </row>
    <row r="279" spans="1:1">
      <c r="A279" t="s">
        <v>13</v>
      </c>
    </row>
    <row r="281" spans="1:1">
      <c r="A281" t="s">
        <v>5</v>
      </c>
    </row>
    <row r="283" spans="1:1">
      <c r="A283" t="s">
        <v>20</v>
      </c>
    </row>
    <row r="285" spans="1:1">
      <c r="A285" t="s">
        <v>11</v>
      </c>
    </row>
    <row r="287" spans="1:1">
      <c r="A287" t="s">
        <v>19</v>
      </c>
    </row>
    <row r="289" spans="1:1">
      <c r="A289" t="s">
        <v>13</v>
      </c>
    </row>
    <row r="291" spans="1:1">
      <c r="A291" t="s">
        <v>13</v>
      </c>
    </row>
    <row r="293" spans="1:1">
      <c r="A293" t="s">
        <v>13</v>
      </c>
    </row>
    <row r="295" spans="1:1">
      <c r="A295" t="s">
        <v>10</v>
      </c>
    </row>
    <row r="297" spans="1:1">
      <c r="A297" t="s">
        <v>17</v>
      </c>
    </row>
    <row r="299" spans="1:1">
      <c r="A299" t="s">
        <v>5</v>
      </c>
    </row>
    <row r="301" spans="1:1">
      <c r="A301" t="s">
        <v>5</v>
      </c>
    </row>
    <row r="303" spans="1:1">
      <c r="A303" t="s">
        <v>7</v>
      </c>
    </row>
    <row r="305" spans="1:1">
      <c r="A305" t="s">
        <v>6</v>
      </c>
    </row>
    <row r="307" spans="1:1">
      <c r="A307" t="s">
        <v>14</v>
      </c>
    </row>
    <row r="309" spans="1:1">
      <c r="A309" t="s">
        <v>19</v>
      </c>
    </row>
    <row r="311" spans="1:1">
      <c r="A311" t="s">
        <v>15</v>
      </c>
    </row>
    <row r="313" spans="1:1">
      <c r="A313" t="s">
        <v>20</v>
      </c>
    </row>
    <row r="315" spans="1:1">
      <c r="A315" t="s">
        <v>19</v>
      </c>
    </row>
    <row r="317" spans="1:1">
      <c r="A317" t="s">
        <v>3</v>
      </c>
    </row>
    <row r="319" spans="1:1">
      <c r="A319" t="s">
        <v>15</v>
      </c>
    </row>
    <row r="321" spans="1:1">
      <c r="A321" t="s">
        <v>9</v>
      </c>
    </row>
    <row r="323" spans="1:1">
      <c r="A323" t="s">
        <v>5</v>
      </c>
    </row>
    <row r="325" spans="1:1">
      <c r="A325" t="s">
        <v>3</v>
      </c>
    </row>
    <row r="327" spans="1:1">
      <c r="A327" t="s">
        <v>18</v>
      </c>
    </row>
    <row r="329" spans="1:1">
      <c r="A329" t="s">
        <v>20</v>
      </c>
    </row>
    <row r="331" spans="1:1">
      <c r="A331" t="s">
        <v>10</v>
      </c>
    </row>
    <row r="333" spans="1:1">
      <c r="A333" t="s">
        <v>17</v>
      </c>
    </row>
    <row r="335" spans="1:1">
      <c r="A335" t="s">
        <v>2</v>
      </c>
    </row>
    <row r="337" spans="1:1">
      <c r="A337" t="s">
        <v>10</v>
      </c>
    </row>
    <row r="339" spans="1:1">
      <c r="A339" t="s">
        <v>9</v>
      </c>
    </row>
    <row r="341" spans="1:1">
      <c r="A341" t="s">
        <v>4</v>
      </c>
    </row>
    <row r="343" spans="1:1">
      <c r="A343" t="s">
        <v>20</v>
      </c>
    </row>
    <row r="345" spans="1:1">
      <c r="A345" t="s">
        <v>10</v>
      </c>
    </row>
    <row r="347" spans="1:1">
      <c r="A347" t="s">
        <v>2</v>
      </c>
    </row>
    <row r="349" spans="1:1">
      <c r="A349" t="s">
        <v>6</v>
      </c>
    </row>
    <row r="351" spans="1:1">
      <c r="A351" t="s">
        <v>6</v>
      </c>
    </row>
    <row r="353" spans="1:1">
      <c r="A353" t="s">
        <v>14</v>
      </c>
    </row>
    <row r="355" spans="1:1">
      <c r="A355" t="s">
        <v>17</v>
      </c>
    </row>
    <row r="357" spans="1:1">
      <c r="A357" t="s">
        <v>13</v>
      </c>
    </row>
    <row r="359" spans="1:1">
      <c r="A359" t="s">
        <v>1</v>
      </c>
    </row>
    <row r="361" spans="1:1">
      <c r="A361" t="s">
        <v>3</v>
      </c>
    </row>
    <row r="363" spans="1:1">
      <c r="A363" t="s">
        <v>10</v>
      </c>
    </row>
    <row r="365" spans="1:1">
      <c r="A365" t="s">
        <v>9</v>
      </c>
    </row>
    <row r="367" spans="1:1">
      <c r="A367" t="s">
        <v>8</v>
      </c>
    </row>
    <row r="369" spans="1:1">
      <c r="A369" t="s">
        <v>20</v>
      </c>
    </row>
    <row r="371" spans="1:1">
      <c r="A371" t="s">
        <v>12</v>
      </c>
    </row>
    <row r="373" spans="1:1">
      <c r="A373" t="s">
        <v>5</v>
      </c>
    </row>
    <row r="375" spans="1:1">
      <c r="A375" t="s">
        <v>13</v>
      </c>
    </row>
    <row r="377" spans="1:1">
      <c r="A377" t="s">
        <v>6</v>
      </c>
    </row>
    <row r="379" spans="1:1">
      <c r="A379" t="s">
        <v>16</v>
      </c>
    </row>
    <row r="381" spans="1:1">
      <c r="A381" t="s">
        <v>2</v>
      </c>
    </row>
    <row r="383" spans="1:1">
      <c r="A383" t="s">
        <v>1</v>
      </c>
    </row>
    <row r="385" spans="1:1">
      <c r="A385" t="s">
        <v>7</v>
      </c>
    </row>
    <row r="387" spans="1:1">
      <c r="A387" t="s">
        <v>6</v>
      </c>
    </row>
    <row r="389" spans="1:1">
      <c r="A389" t="s">
        <v>13</v>
      </c>
    </row>
    <row r="391" spans="1:1">
      <c r="A391" t="s">
        <v>10</v>
      </c>
    </row>
    <row r="393" spans="1:1">
      <c r="A393" t="s">
        <v>19</v>
      </c>
    </row>
    <row r="395" spans="1:1">
      <c r="A395" t="s">
        <v>6</v>
      </c>
    </row>
    <row r="397" spans="1:1">
      <c r="A397" t="s">
        <v>12</v>
      </c>
    </row>
    <row r="399" spans="1:1">
      <c r="A399" t="s">
        <v>9</v>
      </c>
    </row>
    <row r="401" spans="1:1">
      <c r="A401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03"/>
  <sheetViews>
    <sheetView workbookViewId="0">
      <selection activeCell="O42" sqref="O42"/>
    </sheetView>
  </sheetViews>
  <sheetFormatPr defaultRowHeight="15"/>
  <cols>
    <col min="1" max="1" width="26.140625" bestFit="1" customWidth="1"/>
    <col min="2" max="3" width="11.140625" bestFit="1" customWidth="1"/>
    <col min="4" max="4" width="18.28515625" bestFit="1" customWidth="1"/>
    <col min="5" max="5" width="11.140625" bestFit="1" customWidth="1"/>
    <col min="6" max="6" width="18.85546875" bestFit="1" customWidth="1"/>
    <col min="7" max="7" width="11.140625" bestFit="1" customWidth="1"/>
  </cols>
  <sheetData>
    <row r="1" spans="1:7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</row>
    <row r="2" spans="1:7">
      <c r="A2" t="s">
        <v>28</v>
      </c>
      <c r="B2" t="s">
        <v>29</v>
      </c>
      <c r="C2" t="s">
        <v>30</v>
      </c>
      <c r="D2" t="s">
        <v>31</v>
      </c>
      <c r="E2" t="s">
        <v>32</v>
      </c>
      <c r="F2" t="s">
        <v>33</v>
      </c>
      <c r="G2" t="s">
        <v>34</v>
      </c>
    </row>
    <row r="3" spans="1:7">
      <c r="A3" t="s">
        <v>35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  <c r="G3" t="s">
        <v>35</v>
      </c>
    </row>
    <row r="4" spans="1:7">
      <c r="A4" t="s">
        <v>36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</row>
    <row r="5" spans="1:7">
      <c r="A5" t="s">
        <v>35</v>
      </c>
      <c r="B5" t="s">
        <v>35</v>
      </c>
      <c r="C5" t="s">
        <v>35</v>
      </c>
      <c r="D5" t="s">
        <v>35</v>
      </c>
      <c r="E5" t="s">
        <v>35</v>
      </c>
      <c r="F5" t="s">
        <v>35</v>
      </c>
      <c r="G5" t="s">
        <v>35</v>
      </c>
    </row>
    <row r="6" spans="1:7">
      <c r="A6" t="s">
        <v>43</v>
      </c>
      <c r="B6" t="s">
        <v>44</v>
      </c>
      <c r="C6" t="s">
        <v>45</v>
      </c>
      <c r="D6" t="s">
        <v>46</v>
      </c>
      <c r="E6" t="s">
        <v>47</v>
      </c>
      <c r="F6" t="s">
        <v>48</v>
      </c>
      <c r="G6" t="s">
        <v>49</v>
      </c>
    </row>
    <row r="7" spans="1:7">
      <c r="A7" t="s">
        <v>35</v>
      </c>
      <c r="B7" t="s">
        <v>35</v>
      </c>
      <c r="C7" t="s">
        <v>35</v>
      </c>
      <c r="D7" t="s">
        <v>35</v>
      </c>
      <c r="E7" t="s">
        <v>35</v>
      </c>
      <c r="F7" t="s">
        <v>35</v>
      </c>
      <c r="G7" t="s">
        <v>35</v>
      </c>
    </row>
    <row r="8" spans="1:7">
      <c r="A8" t="s">
        <v>50</v>
      </c>
      <c r="B8" t="s">
        <v>51</v>
      </c>
      <c r="C8" t="s">
        <v>52</v>
      </c>
      <c r="D8" t="s">
        <v>53</v>
      </c>
      <c r="E8" t="s">
        <v>54</v>
      </c>
      <c r="F8" t="s">
        <v>55</v>
      </c>
      <c r="G8" t="s">
        <v>42</v>
      </c>
    </row>
    <row r="9" spans="1:7">
      <c r="A9" t="s">
        <v>35</v>
      </c>
      <c r="B9" t="s">
        <v>35</v>
      </c>
      <c r="C9" t="s">
        <v>35</v>
      </c>
      <c r="D9" t="s">
        <v>35</v>
      </c>
      <c r="E9" t="s">
        <v>35</v>
      </c>
      <c r="F9" t="s">
        <v>35</v>
      </c>
      <c r="G9" t="s">
        <v>35</v>
      </c>
    </row>
    <row r="10" spans="1:7">
      <c r="A10" t="s">
        <v>56</v>
      </c>
      <c r="B10" t="s">
        <v>57</v>
      </c>
      <c r="C10" t="s">
        <v>58</v>
      </c>
      <c r="D10" t="s">
        <v>59</v>
      </c>
      <c r="E10" t="s">
        <v>60</v>
      </c>
      <c r="F10" t="s">
        <v>61</v>
      </c>
      <c r="G10" t="s">
        <v>49</v>
      </c>
    </row>
    <row r="11" spans="1:7">
      <c r="A11" t="s">
        <v>35</v>
      </c>
      <c r="B11" t="s">
        <v>35</v>
      </c>
      <c r="C11" t="s">
        <v>35</v>
      </c>
      <c r="D11" t="s">
        <v>35</v>
      </c>
      <c r="E11" t="s">
        <v>35</v>
      </c>
      <c r="F11" t="s">
        <v>35</v>
      </c>
      <c r="G11" t="s">
        <v>35</v>
      </c>
    </row>
    <row r="12" spans="1:7">
      <c r="A12" t="s">
        <v>43</v>
      </c>
      <c r="B12" t="s">
        <v>44</v>
      </c>
      <c r="C12" t="s">
        <v>45</v>
      </c>
      <c r="D12" t="s">
        <v>46</v>
      </c>
      <c r="E12" t="s">
        <v>47</v>
      </c>
      <c r="F12" t="s">
        <v>48</v>
      </c>
      <c r="G12" t="s">
        <v>49</v>
      </c>
    </row>
    <row r="13" spans="1:7">
      <c r="A13" t="s">
        <v>35</v>
      </c>
      <c r="B13" t="s">
        <v>35</v>
      </c>
      <c r="C13" t="s">
        <v>35</v>
      </c>
      <c r="D13" t="s">
        <v>35</v>
      </c>
      <c r="E13" t="s">
        <v>35</v>
      </c>
      <c r="F13" t="s">
        <v>35</v>
      </c>
      <c r="G13" t="s">
        <v>35</v>
      </c>
    </row>
    <row r="14" spans="1:7">
      <c r="A14" t="s">
        <v>62</v>
      </c>
      <c r="B14" t="s">
        <v>63</v>
      </c>
      <c r="C14" t="s">
        <v>64</v>
      </c>
      <c r="D14" t="s">
        <v>65</v>
      </c>
      <c r="E14" t="s">
        <v>66</v>
      </c>
      <c r="F14" t="s">
        <v>67</v>
      </c>
      <c r="G14" t="s">
        <v>49</v>
      </c>
    </row>
    <row r="15" spans="1:7">
      <c r="A15" t="s">
        <v>35</v>
      </c>
      <c r="B15" t="s">
        <v>35</v>
      </c>
      <c r="C15" t="s">
        <v>35</v>
      </c>
      <c r="D15" t="s">
        <v>35</v>
      </c>
      <c r="E15" t="s">
        <v>35</v>
      </c>
      <c r="F15" t="s">
        <v>35</v>
      </c>
      <c r="G15" t="s">
        <v>35</v>
      </c>
    </row>
    <row r="16" spans="1:7">
      <c r="A16" t="s">
        <v>68</v>
      </c>
      <c r="B16" t="s">
        <v>69</v>
      </c>
      <c r="C16" t="s">
        <v>70</v>
      </c>
      <c r="D16" t="s">
        <v>71</v>
      </c>
      <c r="E16" t="s">
        <v>72</v>
      </c>
      <c r="F16" t="s">
        <v>73</v>
      </c>
      <c r="G16" t="s">
        <v>42</v>
      </c>
    </row>
    <row r="17" spans="1:7">
      <c r="A17" t="s">
        <v>35</v>
      </c>
      <c r="B17" t="s">
        <v>35</v>
      </c>
      <c r="C17" t="s">
        <v>35</v>
      </c>
      <c r="D17" t="s">
        <v>35</v>
      </c>
      <c r="E17" t="s">
        <v>35</v>
      </c>
      <c r="F17" t="s">
        <v>35</v>
      </c>
      <c r="G17" t="s">
        <v>35</v>
      </c>
    </row>
    <row r="18" spans="1:7">
      <c r="A18" t="s">
        <v>74</v>
      </c>
      <c r="B18" t="s">
        <v>75</v>
      </c>
      <c r="C18" t="s">
        <v>76</v>
      </c>
      <c r="D18" t="s">
        <v>77</v>
      </c>
      <c r="E18" t="s">
        <v>78</v>
      </c>
      <c r="F18" t="s">
        <v>79</v>
      </c>
      <c r="G18" t="s">
        <v>49</v>
      </c>
    </row>
    <row r="19" spans="1:7">
      <c r="A19" t="s">
        <v>35</v>
      </c>
      <c r="B19" t="s">
        <v>35</v>
      </c>
      <c r="C19" t="s">
        <v>35</v>
      </c>
      <c r="D19" t="s">
        <v>35</v>
      </c>
      <c r="E19" t="s">
        <v>35</v>
      </c>
      <c r="F19" t="s">
        <v>35</v>
      </c>
      <c r="G19" t="s">
        <v>35</v>
      </c>
    </row>
    <row r="20" spans="1:7">
      <c r="A20" t="s">
        <v>56</v>
      </c>
      <c r="B20" t="s">
        <v>57</v>
      </c>
      <c r="C20" t="s">
        <v>58</v>
      </c>
      <c r="D20" t="s">
        <v>59</v>
      </c>
      <c r="E20" t="s">
        <v>60</v>
      </c>
      <c r="F20" t="s">
        <v>61</v>
      </c>
      <c r="G20" t="s">
        <v>49</v>
      </c>
    </row>
    <row r="21" spans="1:7">
      <c r="A21" t="s">
        <v>35</v>
      </c>
      <c r="B21" t="s">
        <v>35</v>
      </c>
      <c r="C21" t="s">
        <v>35</v>
      </c>
      <c r="D21" t="s">
        <v>35</v>
      </c>
      <c r="E21" t="s">
        <v>35</v>
      </c>
      <c r="F21" t="s">
        <v>35</v>
      </c>
      <c r="G21" t="s">
        <v>35</v>
      </c>
    </row>
    <row r="22" spans="1:7">
      <c r="A22" t="s">
        <v>80</v>
      </c>
      <c r="B22" t="s">
        <v>81</v>
      </c>
      <c r="C22" t="s">
        <v>82</v>
      </c>
      <c r="D22" t="s">
        <v>83</v>
      </c>
      <c r="E22" t="s">
        <v>84</v>
      </c>
      <c r="F22" t="s">
        <v>85</v>
      </c>
      <c r="G22" t="s">
        <v>42</v>
      </c>
    </row>
    <row r="23" spans="1:7">
      <c r="A23" t="s">
        <v>35</v>
      </c>
      <c r="B23" t="s">
        <v>35</v>
      </c>
      <c r="C23" t="s">
        <v>35</v>
      </c>
      <c r="D23" t="s">
        <v>35</v>
      </c>
      <c r="E23" t="s">
        <v>35</v>
      </c>
      <c r="F23" t="s">
        <v>35</v>
      </c>
      <c r="G23" t="s">
        <v>35</v>
      </c>
    </row>
    <row r="24" spans="1:7">
      <c r="A24" t="s">
        <v>74</v>
      </c>
      <c r="B24" t="s">
        <v>75</v>
      </c>
      <c r="C24" t="s">
        <v>76</v>
      </c>
      <c r="D24" t="s">
        <v>77</v>
      </c>
      <c r="E24" t="s">
        <v>78</v>
      </c>
      <c r="F24" t="s">
        <v>79</v>
      </c>
      <c r="G24" t="s">
        <v>49</v>
      </c>
    </row>
    <row r="25" spans="1:7">
      <c r="A25" t="s">
        <v>35</v>
      </c>
      <c r="B25" t="s">
        <v>35</v>
      </c>
      <c r="C25" t="s">
        <v>35</v>
      </c>
      <c r="D25" t="s">
        <v>35</v>
      </c>
      <c r="E25" t="s">
        <v>35</v>
      </c>
      <c r="F25" t="s">
        <v>35</v>
      </c>
      <c r="G25" t="s">
        <v>35</v>
      </c>
    </row>
    <row r="26" spans="1:7">
      <c r="A26" t="s">
        <v>80</v>
      </c>
      <c r="B26" t="s">
        <v>81</v>
      </c>
      <c r="C26" t="s">
        <v>86</v>
      </c>
      <c r="D26" t="s">
        <v>87</v>
      </c>
      <c r="E26" t="s">
        <v>88</v>
      </c>
      <c r="F26" t="s">
        <v>89</v>
      </c>
      <c r="G26" t="s">
        <v>42</v>
      </c>
    </row>
    <row r="27" spans="1:7">
      <c r="A27" t="s">
        <v>35</v>
      </c>
      <c r="B27" t="s">
        <v>35</v>
      </c>
      <c r="C27" t="s">
        <v>35</v>
      </c>
      <c r="D27" t="s">
        <v>35</v>
      </c>
      <c r="E27" t="s">
        <v>35</v>
      </c>
      <c r="F27" t="s">
        <v>35</v>
      </c>
      <c r="G27" t="s">
        <v>35</v>
      </c>
    </row>
    <row r="28" spans="1:7">
      <c r="A28" t="s">
        <v>90</v>
      </c>
      <c r="B28" t="s">
        <v>91</v>
      </c>
      <c r="C28" t="s">
        <v>92</v>
      </c>
      <c r="D28" t="s">
        <v>93</v>
      </c>
      <c r="E28" t="s">
        <v>94</v>
      </c>
      <c r="F28" t="s">
        <v>95</v>
      </c>
      <c r="G28" t="s">
        <v>42</v>
      </c>
    </row>
    <row r="29" spans="1:7">
      <c r="A29" t="s">
        <v>35</v>
      </c>
      <c r="B29" t="s">
        <v>35</v>
      </c>
      <c r="C29" t="s">
        <v>35</v>
      </c>
      <c r="D29" t="s">
        <v>35</v>
      </c>
      <c r="E29" t="s">
        <v>35</v>
      </c>
      <c r="F29" t="s">
        <v>35</v>
      </c>
      <c r="G29" t="s">
        <v>35</v>
      </c>
    </row>
    <row r="30" spans="1:7">
      <c r="A30" t="s">
        <v>96</v>
      </c>
      <c r="B30" t="s">
        <v>97</v>
      </c>
      <c r="C30" t="s">
        <v>58</v>
      </c>
      <c r="D30" t="s">
        <v>98</v>
      </c>
      <c r="E30" t="s">
        <v>99</v>
      </c>
      <c r="F30" t="s">
        <v>100</v>
      </c>
      <c r="G30" t="s">
        <v>42</v>
      </c>
    </row>
    <row r="31" spans="1:7">
      <c r="A31" t="s">
        <v>35</v>
      </c>
      <c r="B31" t="s">
        <v>35</v>
      </c>
      <c r="C31" t="s">
        <v>35</v>
      </c>
      <c r="D31" t="s">
        <v>35</v>
      </c>
      <c r="E31" t="s">
        <v>35</v>
      </c>
      <c r="F31" t="s">
        <v>35</v>
      </c>
      <c r="G31" t="s">
        <v>35</v>
      </c>
    </row>
    <row r="32" spans="1:7">
      <c r="A32" t="s">
        <v>101</v>
      </c>
      <c r="B32" t="s">
        <v>102</v>
      </c>
      <c r="C32" t="s">
        <v>103</v>
      </c>
      <c r="D32" t="s">
        <v>104</v>
      </c>
      <c r="E32" t="s">
        <v>105</v>
      </c>
      <c r="F32" t="s">
        <v>106</v>
      </c>
      <c r="G32" t="s">
        <v>42</v>
      </c>
    </row>
    <row r="33" spans="1:7">
      <c r="A33" t="s">
        <v>35</v>
      </c>
      <c r="B33" t="s">
        <v>35</v>
      </c>
      <c r="C33" t="s">
        <v>35</v>
      </c>
      <c r="D33" t="s">
        <v>35</v>
      </c>
      <c r="E33" t="s">
        <v>35</v>
      </c>
      <c r="F33" t="s">
        <v>35</v>
      </c>
      <c r="G33" t="s">
        <v>35</v>
      </c>
    </row>
    <row r="34" spans="1:7">
      <c r="A34" t="s">
        <v>56</v>
      </c>
      <c r="B34" t="s">
        <v>57</v>
      </c>
      <c r="C34" t="s">
        <v>107</v>
      </c>
      <c r="D34" t="s">
        <v>108</v>
      </c>
      <c r="E34" t="s">
        <v>109</v>
      </c>
      <c r="F34" t="s">
        <v>110</v>
      </c>
      <c r="G34" t="s">
        <v>42</v>
      </c>
    </row>
    <row r="35" spans="1:7">
      <c r="A35" t="s">
        <v>35</v>
      </c>
      <c r="B35" t="s">
        <v>35</v>
      </c>
      <c r="C35" t="s">
        <v>35</v>
      </c>
      <c r="D35" t="s">
        <v>35</v>
      </c>
      <c r="E35" t="s">
        <v>35</v>
      </c>
      <c r="F35" t="s">
        <v>35</v>
      </c>
      <c r="G35" t="s">
        <v>35</v>
      </c>
    </row>
    <row r="36" spans="1:7">
      <c r="A36" t="s">
        <v>90</v>
      </c>
      <c r="B36" t="s">
        <v>91</v>
      </c>
      <c r="C36" t="s">
        <v>92</v>
      </c>
      <c r="D36" t="s">
        <v>93</v>
      </c>
      <c r="E36" t="s">
        <v>94</v>
      </c>
      <c r="F36" t="s">
        <v>95</v>
      </c>
      <c r="G36" t="s">
        <v>42</v>
      </c>
    </row>
    <row r="37" spans="1:7">
      <c r="A37" t="s">
        <v>35</v>
      </c>
      <c r="B37" t="s">
        <v>35</v>
      </c>
      <c r="C37" t="s">
        <v>35</v>
      </c>
      <c r="D37" t="s">
        <v>35</v>
      </c>
      <c r="E37" t="s">
        <v>35</v>
      </c>
      <c r="F37" t="s">
        <v>35</v>
      </c>
      <c r="G37" t="s">
        <v>35</v>
      </c>
    </row>
    <row r="38" spans="1:7">
      <c r="A38" t="s">
        <v>111</v>
      </c>
      <c r="B38" t="s">
        <v>112</v>
      </c>
      <c r="C38" t="s">
        <v>113</v>
      </c>
      <c r="D38" t="s">
        <v>114</v>
      </c>
      <c r="E38" t="s">
        <v>115</v>
      </c>
      <c r="F38" t="s">
        <v>116</v>
      </c>
      <c r="G38" t="s">
        <v>42</v>
      </c>
    </row>
    <row r="39" spans="1:7">
      <c r="A39" t="s">
        <v>35</v>
      </c>
      <c r="B39" t="s">
        <v>35</v>
      </c>
      <c r="C39" t="s">
        <v>35</v>
      </c>
      <c r="D39" t="s">
        <v>35</v>
      </c>
      <c r="E39" t="s">
        <v>35</v>
      </c>
      <c r="F39" t="s">
        <v>35</v>
      </c>
      <c r="G39" t="s">
        <v>35</v>
      </c>
    </row>
    <row r="40" spans="1:7">
      <c r="A40" t="s">
        <v>74</v>
      </c>
      <c r="B40" t="s">
        <v>75</v>
      </c>
      <c r="C40" t="s">
        <v>76</v>
      </c>
      <c r="D40" t="s">
        <v>77</v>
      </c>
      <c r="E40" t="s">
        <v>78</v>
      </c>
      <c r="F40" t="s">
        <v>79</v>
      </c>
      <c r="G40" t="s">
        <v>49</v>
      </c>
    </row>
    <row r="41" spans="1:7">
      <c r="A41" t="s">
        <v>35</v>
      </c>
      <c r="B41" t="s">
        <v>35</v>
      </c>
      <c r="C41" t="s">
        <v>35</v>
      </c>
      <c r="D41" t="s">
        <v>35</v>
      </c>
      <c r="E41" t="s">
        <v>35</v>
      </c>
      <c r="F41" t="s">
        <v>35</v>
      </c>
      <c r="G41" t="s">
        <v>35</v>
      </c>
    </row>
    <row r="42" spans="1:7">
      <c r="A42" t="s">
        <v>96</v>
      </c>
      <c r="B42" t="s">
        <v>97</v>
      </c>
      <c r="C42" t="s">
        <v>58</v>
      </c>
      <c r="D42" t="s">
        <v>98</v>
      </c>
      <c r="E42" t="s">
        <v>99</v>
      </c>
      <c r="F42" t="s">
        <v>100</v>
      </c>
      <c r="G42" t="s">
        <v>42</v>
      </c>
    </row>
    <row r="43" spans="1:7">
      <c r="A43" t="s">
        <v>35</v>
      </c>
      <c r="B43" t="s">
        <v>35</v>
      </c>
      <c r="C43" t="s">
        <v>35</v>
      </c>
      <c r="D43" t="s">
        <v>35</v>
      </c>
      <c r="E43" t="s">
        <v>35</v>
      </c>
      <c r="F43" t="s">
        <v>35</v>
      </c>
      <c r="G43" t="s">
        <v>35</v>
      </c>
    </row>
    <row r="44" spans="1:7">
      <c r="A44" t="s">
        <v>36</v>
      </c>
      <c r="B44" t="s">
        <v>37</v>
      </c>
      <c r="C44" t="s">
        <v>38</v>
      </c>
      <c r="D44" t="s">
        <v>39</v>
      </c>
      <c r="E44" t="s">
        <v>40</v>
      </c>
      <c r="F44" t="s">
        <v>41</v>
      </c>
      <c r="G44" t="s">
        <v>42</v>
      </c>
    </row>
    <row r="45" spans="1:7">
      <c r="A45" t="s">
        <v>35</v>
      </c>
      <c r="B45" t="s">
        <v>35</v>
      </c>
      <c r="C45" t="s">
        <v>35</v>
      </c>
      <c r="D45" t="s">
        <v>35</v>
      </c>
      <c r="E45" t="s">
        <v>35</v>
      </c>
      <c r="F45" t="s">
        <v>35</v>
      </c>
      <c r="G45" t="s">
        <v>35</v>
      </c>
    </row>
    <row r="46" spans="1:7">
      <c r="A46" t="s">
        <v>62</v>
      </c>
      <c r="B46" t="s">
        <v>63</v>
      </c>
      <c r="C46" t="s">
        <v>64</v>
      </c>
      <c r="D46" t="s">
        <v>65</v>
      </c>
      <c r="E46" t="s">
        <v>66</v>
      </c>
      <c r="F46" t="s">
        <v>67</v>
      </c>
      <c r="G46" t="s">
        <v>49</v>
      </c>
    </row>
    <row r="47" spans="1:7">
      <c r="A47" t="s">
        <v>35</v>
      </c>
      <c r="B47" t="s">
        <v>35</v>
      </c>
      <c r="C47" t="s">
        <v>35</v>
      </c>
      <c r="D47" t="s">
        <v>35</v>
      </c>
      <c r="E47" t="s">
        <v>35</v>
      </c>
      <c r="F47" t="s">
        <v>35</v>
      </c>
      <c r="G47" t="s">
        <v>35</v>
      </c>
    </row>
    <row r="48" spans="1:7">
      <c r="A48" t="s">
        <v>68</v>
      </c>
      <c r="B48" t="s">
        <v>69</v>
      </c>
      <c r="C48" t="s">
        <v>70</v>
      </c>
      <c r="D48" t="s">
        <v>71</v>
      </c>
      <c r="E48" t="s">
        <v>72</v>
      </c>
      <c r="F48" t="s">
        <v>73</v>
      </c>
      <c r="G48" t="s">
        <v>42</v>
      </c>
    </row>
    <row r="49" spans="1:7">
      <c r="A49" t="s">
        <v>35</v>
      </c>
      <c r="B49" t="s">
        <v>35</v>
      </c>
      <c r="C49" t="s">
        <v>35</v>
      </c>
      <c r="D49" t="s">
        <v>35</v>
      </c>
      <c r="E49" t="s">
        <v>35</v>
      </c>
      <c r="F49" t="s">
        <v>35</v>
      </c>
      <c r="G49" t="s">
        <v>35</v>
      </c>
    </row>
    <row r="50" spans="1:7">
      <c r="A50" t="s">
        <v>36</v>
      </c>
      <c r="B50" t="s">
        <v>37</v>
      </c>
      <c r="C50" t="s">
        <v>117</v>
      </c>
      <c r="D50" t="s">
        <v>118</v>
      </c>
      <c r="E50" t="s">
        <v>119</v>
      </c>
      <c r="F50" t="s">
        <v>120</v>
      </c>
      <c r="G50" t="s">
        <v>49</v>
      </c>
    </row>
    <row r="51" spans="1:7">
      <c r="A51" t="s">
        <v>35</v>
      </c>
      <c r="B51" t="s">
        <v>35</v>
      </c>
      <c r="C51" t="s">
        <v>35</v>
      </c>
      <c r="D51" t="s">
        <v>35</v>
      </c>
      <c r="E51" t="s">
        <v>35</v>
      </c>
      <c r="F51" t="s">
        <v>35</v>
      </c>
      <c r="G51" t="s">
        <v>35</v>
      </c>
    </row>
    <row r="52" spans="1:7">
      <c r="A52" t="s">
        <v>90</v>
      </c>
      <c r="B52" t="s">
        <v>91</v>
      </c>
      <c r="C52" t="s">
        <v>121</v>
      </c>
      <c r="D52" t="s">
        <v>122</v>
      </c>
      <c r="E52" t="s">
        <v>123</v>
      </c>
      <c r="F52" t="s">
        <v>124</v>
      </c>
      <c r="G52" t="s">
        <v>42</v>
      </c>
    </row>
    <row r="53" spans="1:7">
      <c r="A53" t="s">
        <v>35</v>
      </c>
      <c r="B53" t="s">
        <v>35</v>
      </c>
      <c r="C53" t="s">
        <v>35</v>
      </c>
      <c r="D53" t="s">
        <v>35</v>
      </c>
      <c r="E53" t="s">
        <v>35</v>
      </c>
      <c r="F53" t="s">
        <v>35</v>
      </c>
      <c r="G53" t="s">
        <v>35</v>
      </c>
    </row>
    <row r="54" spans="1:7">
      <c r="A54" t="s">
        <v>36</v>
      </c>
      <c r="B54" t="s">
        <v>37</v>
      </c>
      <c r="C54" t="s">
        <v>117</v>
      </c>
      <c r="D54" t="s">
        <v>118</v>
      </c>
      <c r="E54" t="s">
        <v>119</v>
      </c>
      <c r="F54" t="s">
        <v>120</v>
      </c>
      <c r="G54" t="s">
        <v>49</v>
      </c>
    </row>
    <row r="55" spans="1:7">
      <c r="A55" t="s">
        <v>35</v>
      </c>
      <c r="B55" t="s">
        <v>35</v>
      </c>
      <c r="C55" t="s">
        <v>35</v>
      </c>
      <c r="D55" t="s">
        <v>35</v>
      </c>
      <c r="E55" t="s">
        <v>35</v>
      </c>
      <c r="F55" t="s">
        <v>35</v>
      </c>
      <c r="G55" t="s">
        <v>35</v>
      </c>
    </row>
    <row r="56" spans="1:7">
      <c r="A56" t="s">
        <v>56</v>
      </c>
      <c r="B56" t="s">
        <v>57</v>
      </c>
      <c r="C56" t="s">
        <v>107</v>
      </c>
      <c r="D56" t="s">
        <v>108</v>
      </c>
      <c r="E56" t="s">
        <v>109</v>
      </c>
      <c r="F56" t="s">
        <v>110</v>
      </c>
      <c r="G56" t="s">
        <v>42</v>
      </c>
    </row>
    <row r="57" spans="1:7">
      <c r="A57" t="s">
        <v>35</v>
      </c>
      <c r="B57" t="s">
        <v>35</v>
      </c>
      <c r="C57" t="s">
        <v>35</v>
      </c>
      <c r="D57" t="s">
        <v>35</v>
      </c>
      <c r="E57" t="s">
        <v>35</v>
      </c>
      <c r="F57" t="s">
        <v>35</v>
      </c>
      <c r="G57" t="s">
        <v>35</v>
      </c>
    </row>
    <row r="58" spans="1:7">
      <c r="A58" t="s">
        <v>96</v>
      </c>
      <c r="B58" t="s">
        <v>97</v>
      </c>
      <c r="C58" t="s">
        <v>58</v>
      </c>
      <c r="D58" t="s">
        <v>98</v>
      </c>
      <c r="E58" t="s">
        <v>99</v>
      </c>
      <c r="F58" t="s">
        <v>100</v>
      </c>
      <c r="G58" t="s">
        <v>42</v>
      </c>
    </row>
    <row r="59" spans="1:7">
      <c r="A59" t="s">
        <v>35</v>
      </c>
      <c r="B59" t="s">
        <v>35</v>
      </c>
      <c r="C59" t="s">
        <v>35</v>
      </c>
      <c r="D59" t="s">
        <v>35</v>
      </c>
      <c r="E59" t="s">
        <v>35</v>
      </c>
      <c r="F59" t="s">
        <v>35</v>
      </c>
      <c r="G59" t="s">
        <v>35</v>
      </c>
    </row>
    <row r="60" spans="1:7">
      <c r="A60" t="s">
        <v>74</v>
      </c>
      <c r="B60" t="s">
        <v>75</v>
      </c>
      <c r="C60" t="s">
        <v>76</v>
      </c>
      <c r="D60" t="s">
        <v>77</v>
      </c>
      <c r="E60" t="s">
        <v>78</v>
      </c>
      <c r="F60" t="s">
        <v>79</v>
      </c>
      <c r="G60" t="s">
        <v>49</v>
      </c>
    </row>
    <row r="61" spans="1:7">
      <c r="A61" t="s">
        <v>35</v>
      </c>
      <c r="B61" t="s">
        <v>35</v>
      </c>
      <c r="C61" t="s">
        <v>35</v>
      </c>
      <c r="D61" t="s">
        <v>35</v>
      </c>
      <c r="E61" t="s">
        <v>35</v>
      </c>
      <c r="F61" t="s">
        <v>35</v>
      </c>
      <c r="G61" t="s">
        <v>35</v>
      </c>
    </row>
    <row r="62" spans="1:7">
      <c r="A62" t="s">
        <v>90</v>
      </c>
      <c r="B62" t="s">
        <v>91</v>
      </c>
      <c r="C62" t="s">
        <v>92</v>
      </c>
      <c r="D62" t="s">
        <v>93</v>
      </c>
      <c r="E62" t="s">
        <v>94</v>
      </c>
      <c r="F62" t="s">
        <v>95</v>
      </c>
      <c r="G62" t="s">
        <v>42</v>
      </c>
    </row>
    <row r="63" spans="1:7">
      <c r="A63" t="s">
        <v>35</v>
      </c>
      <c r="B63" t="s">
        <v>35</v>
      </c>
      <c r="C63" t="s">
        <v>35</v>
      </c>
      <c r="D63" t="s">
        <v>35</v>
      </c>
      <c r="E63" t="s">
        <v>35</v>
      </c>
      <c r="F63" t="s">
        <v>35</v>
      </c>
      <c r="G63" t="s">
        <v>35</v>
      </c>
    </row>
    <row r="64" spans="1:7">
      <c r="A64" t="s">
        <v>36</v>
      </c>
      <c r="B64" t="s">
        <v>37</v>
      </c>
      <c r="C64" t="s">
        <v>117</v>
      </c>
      <c r="D64" t="s">
        <v>118</v>
      </c>
      <c r="E64" t="s">
        <v>119</v>
      </c>
      <c r="F64" t="s">
        <v>120</v>
      </c>
      <c r="G64" t="s">
        <v>49</v>
      </c>
    </row>
    <row r="65" spans="1:7">
      <c r="A65" t="s">
        <v>35</v>
      </c>
      <c r="B65" t="s">
        <v>35</v>
      </c>
      <c r="C65" t="s">
        <v>35</v>
      </c>
      <c r="D65" t="s">
        <v>35</v>
      </c>
      <c r="E65" t="s">
        <v>35</v>
      </c>
      <c r="F65" t="s">
        <v>35</v>
      </c>
      <c r="G65" t="s">
        <v>35</v>
      </c>
    </row>
    <row r="66" spans="1:7">
      <c r="A66" t="s">
        <v>90</v>
      </c>
      <c r="B66" t="s">
        <v>91</v>
      </c>
      <c r="C66" t="s">
        <v>92</v>
      </c>
      <c r="D66" t="s">
        <v>93</v>
      </c>
      <c r="E66" t="s">
        <v>94</v>
      </c>
      <c r="F66" t="s">
        <v>95</v>
      </c>
      <c r="G66" t="s">
        <v>42</v>
      </c>
    </row>
    <row r="67" spans="1:7">
      <c r="A67" t="s">
        <v>35</v>
      </c>
      <c r="B67" t="s">
        <v>35</v>
      </c>
      <c r="C67" t="s">
        <v>35</v>
      </c>
      <c r="D67" t="s">
        <v>35</v>
      </c>
      <c r="E67" t="s">
        <v>35</v>
      </c>
      <c r="F67" t="s">
        <v>35</v>
      </c>
      <c r="G67" t="s">
        <v>35</v>
      </c>
    </row>
    <row r="68" spans="1:7">
      <c r="A68" t="s">
        <v>36</v>
      </c>
      <c r="B68" t="s">
        <v>37</v>
      </c>
      <c r="C68" t="s">
        <v>38</v>
      </c>
      <c r="D68" t="s">
        <v>39</v>
      </c>
      <c r="E68" t="s">
        <v>40</v>
      </c>
      <c r="F68" t="s">
        <v>41</v>
      </c>
      <c r="G68" t="s">
        <v>42</v>
      </c>
    </row>
    <row r="69" spans="1:7">
      <c r="A69" t="s">
        <v>35</v>
      </c>
      <c r="B69" t="s">
        <v>35</v>
      </c>
      <c r="C69" t="s">
        <v>35</v>
      </c>
      <c r="D69" t="s">
        <v>35</v>
      </c>
      <c r="E69" t="s">
        <v>35</v>
      </c>
      <c r="F69" t="s">
        <v>35</v>
      </c>
      <c r="G69" t="s">
        <v>35</v>
      </c>
    </row>
    <row r="70" spans="1:7">
      <c r="A70" t="s">
        <v>74</v>
      </c>
      <c r="B70" t="s">
        <v>75</v>
      </c>
      <c r="C70" t="s">
        <v>125</v>
      </c>
      <c r="D70" t="s">
        <v>126</v>
      </c>
      <c r="E70" t="s">
        <v>127</v>
      </c>
      <c r="F70" t="s">
        <v>128</v>
      </c>
      <c r="G70" t="s">
        <v>49</v>
      </c>
    </row>
    <row r="71" spans="1:7">
      <c r="A71" t="s">
        <v>35</v>
      </c>
      <c r="B71" t="s">
        <v>35</v>
      </c>
      <c r="C71" t="s">
        <v>35</v>
      </c>
      <c r="D71" t="s">
        <v>35</v>
      </c>
      <c r="E71" t="s">
        <v>35</v>
      </c>
      <c r="F71" t="s">
        <v>35</v>
      </c>
      <c r="G71" t="s">
        <v>35</v>
      </c>
    </row>
    <row r="72" spans="1:7">
      <c r="A72" t="s">
        <v>50</v>
      </c>
      <c r="B72" t="s">
        <v>51</v>
      </c>
      <c r="C72" t="s">
        <v>52</v>
      </c>
      <c r="D72" t="s">
        <v>53</v>
      </c>
      <c r="E72" t="s">
        <v>54</v>
      </c>
      <c r="F72" t="s">
        <v>55</v>
      </c>
      <c r="G72" t="s">
        <v>42</v>
      </c>
    </row>
    <row r="73" spans="1:7">
      <c r="A73" t="s">
        <v>35</v>
      </c>
      <c r="B73" t="s">
        <v>35</v>
      </c>
      <c r="C73" t="s">
        <v>35</v>
      </c>
      <c r="D73" t="s">
        <v>35</v>
      </c>
      <c r="E73" t="s">
        <v>35</v>
      </c>
      <c r="F73" t="s">
        <v>35</v>
      </c>
      <c r="G73" t="s">
        <v>35</v>
      </c>
    </row>
    <row r="74" spans="1:7">
      <c r="A74" t="s">
        <v>74</v>
      </c>
      <c r="B74" t="s">
        <v>75</v>
      </c>
      <c r="C74" t="s">
        <v>76</v>
      </c>
      <c r="D74" t="s">
        <v>77</v>
      </c>
      <c r="E74" t="s">
        <v>78</v>
      </c>
      <c r="F74" t="s">
        <v>79</v>
      </c>
      <c r="G74" t="s">
        <v>49</v>
      </c>
    </row>
    <row r="75" spans="1:7">
      <c r="A75" t="s">
        <v>35</v>
      </c>
      <c r="B75" t="s">
        <v>35</v>
      </c>
      <c r="C75" t="s">
        <v>35</v>
      </c>
      <c r="D75" t="s">
        <v>35</v>
      </c>
      <c r="E75" t="s">
        <v>35</v>
      </c>
      <c r="F75" t="s">
        <v>35</v>
      </c>
      <c r="G75" t="s">
        <v>35</v>
      </c>
    </row>
    <row r="76" spans="1:7">
      <c r="A76" t="s">
        <v>74</v>
      </c>
      <c r="B76" t="s">
        <v>75</v>
      </c>
      <c r="C76" t="s">
        <v>125</v>
      </c>
      <c r="D76" t="s">
        <v>126</v>
      </c>
      <c r="E76" t="s">
        <v>127</v>
      </c>
      <c r="F76" t="s">
        <v>128</v>
      </c>
      <c r="G76" t="s">
        <v>49</v>
      </c>
    </row>
    <row r="77" spans="1:7">
      <c r="A77" t="s">
        <v>35</v>
      </c>
      <c r="B77" t="s">
        <v>35</v>
      </c>
      <c r="C77" t="s">
        <v>35</v>
      </c>
      <c r="D77" t="s">
        <v>35</v>
      </c>
      <c r="E77" t="s">
        <v>35</v>
      </c>
      <c r="F77" t="s">
        <v>35</v>
      </c>
      <c r="G77" t="s">
        <v>35</v>
      </c>
    </row>
    <row r="78" spans="1:7">
      <c r="A78" t="s">
        <v>90</v>
      </c>
      <c r="B78" t="s">
        <v>91</v>
      </c>
      <c r="C78" t="s">
        <v>121</v>
      </c>
      <c r="D78" t="s">
        <v>122</v>
      </c>
      <c r="E78" t="s">
        <v>123</v>
      </c>
      <c r="F78" t="s">
        <v>124</v>
      </c>
      <c r="G78" t="s">
        <v>42</v>
      </c>
    </row>
    <row r="79" spans="1:7">
      <c r="A79" t="s">
        <v>35</v>
      </c>
      <c r="B79" t="s">
        <v>35</v>
      </c>
      <c r="C79" t="s">
        <v>35</v>
      </c>
      <c r="D79" t="s">
        <v>35</v>
      </c>
      <c r="E79" t="s">
        <v>35</v>
      </c>
      <c r="F79" t="s">
        <v>35</v>
      </c>
      <c r="G79" t="s">
        <v>35</v>
      </c>
    </row>
    <row r="80" spans="1:7">
      <c r="A80" t="s">
        <v>129</v>
      </c>
      <c r="B80" t="s">
        <v>130</v>
      </c>
      <c r="C80" t="s">
        <v>125</v>
      </c>
      <c r="D80" t="s">
        <v>131</v>
      </c>
      <c r="E80" t="s">
        <v>132</v>
      </c>
      <c r="F80" t="s">
        <v>133</v>
      </c>
      <c r="G80" t="s">
        <v>49</v>
      </c>
    </row>
    <row r="81" spans="1:7">
      <c r="A81" t="s">
        <v>35</v>
      </c>
      <c r="B81" t="s">
        <v>35</v>
      </c>
      <c r="C81" t="s">
        <v>35</v>
      </c>
      <c r="D81" t="s">
        <v>35</v>
      </c>
      <c r="E81" t="s">
        <v>35</v>
      </c>
      <c r="F81" t="s">
        <v>35</v>
      </c>
      <c r="G81" t="s">
        <v>35</v>
      </c>
    </row>
    <row r="82" spans="1:7">
      <c r="A82" t="s">
        <v>80</v>
      </c>
      <c r="B82" t="s">
        <v>81</v>
      </c>
      <c r="C82" t="s">
        <v>86</v>
      </c>
      <c r="D82" t="s">
        <v>87</v>
      </c>
      <c r="E82" t="s">
        <v>88</v>
      </c>
      <c r="F82" t="s">
        <v>89</v>
      </c>
      <c r="G82" t="s">
        <v>42</v>
      </c>
    </row>
    <row r="83" spans="1:7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t="s">
        <v>35</v>
      </c>
    </row>
    <row r="84" spans="1:7">
      <c r="A84" t="s">
        <v>74</v>
      </c>
      <c r="B84" t="s">
        <v>75</v>
      </c>
      <c r="C84" t="s">
        <v>134</v>
      </c>
      <c r="D84" t="s">
        <v>135</v>
      </c>
      <c r="E84" t="s">
        <v>136</v>
      </c>
      <c r="F84" t="s">
        <v>137</v>
      </c>
      <c r="G84" t="s">
        <v>42</v>
      </c>
    </row>
    <row r="85" spans="1:7">
      <c r="A85" t="s">
        <v>35</v>
      </c>
      <c r="B85" t="s">
        <v>35</v>
      </c>
      <c r="C85" t="s">
        <v>35</v>
      </c>
      <c r="D85" t="s">
        <v>35</v>
      </c>
      <c r="E85" t="s">
        <v>35</v>
      </c>
      <c r="F85" t="s">
        <v>35</v>
      </c>
      <c r="G85" t="s">
        <v>35</v>
      </c>
    </row>
    <row r="86" spans="1:7">
      <c r="A86" t="s">
        <v>80</v>
      </c>
      <c r="B86" t="s">
        <v>81</v>
      </c>
      <c r="C86" t="s">
        <v>86</v>
      </c>
      <c r="D86" t="s">
        <v>87</v>
      </c>
      <c r="E86" t="s">
        <v>88</v>
      </c>
      <c r="F86" t="s">
        <v>89</v>
      </c>
      <c r="G86" t="s">
        <v>42</v>
      </c>
    </row>
    <row r="87" spans="1:7">
      <c r="A87" t="s">
        <v>35</v>
      </c>
      <c r="B87" t="s">
        <v>35</v>
      </c>
      <c r="C87" t="s">
        <v>35</v>
      </c>
      <c r="D87" t="s">
        <v>35</v>
      </c>
      <c r="E87" t="s">
        <v>35</v>
      </c>
      <c r="F87" t="s">
        <v>35</v>
      </c>
      <c r="G87" t="s">
        <v>35</v>
      </c>
    </row>
    <row r="88" spans="1:7">
      <c r="A88" t="s">
        <v>80</v>
      </c>
      <c r="B88" t="s">
        <v>81</v>
      </c>
      <c r="C88" t="s">
        <v>86</v>
      </c>
      <c r="D88" t="s">
        <v>87</v>
      </c>
      <c r="E88" t="s">
        <v>88</v>
      </c>
      <c r="F88" t="s">
        <v>89</v>
      </c>
      <c r="G88" t="s">
        <v>42</v>
      </c>
    </row>
    <row r="89" spans="1:7">
      <c r="A89" t="s">
        <v>35</v>
      </c>
      <c r="B89" t="s">
        <v>35</v>
      </c>
      <c r="C89" t="s">
        <v>35</v>
      </c>
      <c r="D89" t="s">
        <v>35</v>
      </c>
      <c r="E89" t="s">
        <v>35</v>
      </c>
      <c r="F89" t="s">
        <v>35</v>
      </c>
      <c r="G89" t="s">
        <v>35</v>
      </c>
    </row>
    <row r="90" spans="1:7">
      <c r="A90" t="s">
        <v>43</v>
      </c>
      <c r="B90" t="s">
        <v>44</v>
      </c>
      <c r="C90" t="s">
        <v>45</v>
      </c>
      <c r="D90" t="s">
        <v>46</v>
      </c>
      <c r="E90" t="s">
        <v>47</v>
      </c>
      <c r="F90" t="s">
        <v>48</v>
      </c>
      <c r="G90" t="s">
        <v>49</v>
      </c>
    </row>
    <row r="91" spans="1:7">
      <c r="A91" t="s">
        <v>35</v>
      </c>
      <c r="B91" t="s">
        <v>35</v>
      </c>
      <c r="C91" t="s">
        <v>35</v>
      </c>
      <c r="D91" t="s">
        <v>35</v>
      </c>
      <c r="E91" t="s">
        <v>35</v>
      </c>
      <c r="F91" t="s">
        <v>35</v>
      </c>
      <c r="G91" t="s">
        <v>35</v>
      </c>
    </row>
    <row r="92" spans="1:7">
      <c r="A92" t="s">
        <v>36</v>
      </c>
      <c r="B92" t="s">
        <v>37</v>
      </c>
      <c r="C92" t="s">
        <v>117</v>
      </c>
      <c r="D92" t="s">
        <v>118</v>
      </c>
      <c r="E92" t="s">
        <v>119</v>
      </c>
      <c r="F92" t="s">
        <v>120</v>
      </c>
      <c r="G92" t="s">
        <v>49</v>
      </c>
    </row>
    <row r="93" spans="1:7">
      <c r="A93" t="s">
        <v>35</v>
      </c>
      <c r="B93" t="s">
        <v>35</v>
      </c>
      <c r="C93" t="s">
        <v>35</v>
      </c>
      <c r="D93" t="s">
        <v>35</v>
      </c>
      <c r="E93" t="s">
        <v>35</v>
      </c>
      <c r="F93" t="s">
        <v>35</v>
      </c>
      <c r="G93" t="s">
        <v>35</v>
      </c>
    </row>
    <row r="94" spans="1:7">
      <c r="A94" t="s">
        <v>56</v>
      </c>
      <c r="B94" t="s">
        <v>57</v>
      </c>
      <c r="C94" t="s">
        <v>58</v>
      </c>
      <c r="D94" t="s">
        <v>59</v>
      </c>
      <c r="E94" t="s">
        <v>60</v>
      </c>
      <c r="F94" t="s">
        <v>61</v>
      </c>
      <c r="G94" t="s">
        <v>49</v>
      </c>
    </row>
    <row r="95" spans="1:7">
      <c r="A95" t="s">
        <v>35</v>
      </c>
      <c r="B95" t="s">
        <v>35</v>
      </c>
      <c r="C95" t="s">
        <v>35</v>
      </c>
      <c r="D95" t="s">
        <v>35</v>
      </c>
      <c r="E95" t="s">
        <v>35</v>
      </c>
      <c r="F95" t="s">
        <v>35</v>
      </c>
      <c r="G95" t="s">
        <v>35</v>
      </c>
    </row>
    <row r="96" spans="1:7">
      <c r="A96" t="s">
        <v>62</v>
      </c>
      <c r="B96" t="s">
        <v>63</v>
      </c>
      <c r="C96" t="s">
        <v>64</v>
      </c>
      <c r="D96" t="s">
        <v>65</v>
      </c>
      <c r="E96" t="s">
        <v>66</v>
      </c>
      <c r="F96" t="s">
        <v>67</v>
      </c>
      <c r="G96" t="s">
        <v>49</v>
      </c>
    </row>
    <row r="97" spans="1:7">
      <c r="A97" t="s">
        <v>35</v>
      </c>
      <c r="B97" t="s">
        <v>35</v>
      </c>
      <c r="C97" t="s">
        <v>35</v>
      </c>
      <c r="D97" t="s">
        <v>35</v>
      </c>
      <c r="E97" t="s">
        <v>35</v>
      </c>
      <c r="F97" t="s">
        <v>35</v>
      </c>
      <c r="G97" t="s">
        <v>35</v>
      </c>
    </row>
    <row r="98" spans="1:7">
      <c r="A98" t="s">
        <v>56</v>
      </c>
      <c r="B98" t="s">
        <v>57</v>
      </c>
      <c r="C98" t="s">
        <v>58</v>
      </c>
      <c r="D98" t="s">
        <v>59</v>
      </c>
      <c r="E98" t="s">
        <v>60</v>
      </c>
      <c r="F98" t="s">
        <v>61</v>
      </c>
      <c r="G98" t="s">
        <v>49</v>
      </c>
    </row>
    <row r="99" spans="1:7">
      <c r="A99" t="s">
        <v>35</v>
      </c>
      <c r="B99" t="s">
        <v>35</v>
      </c>
      <c r="C99" t="s">
        <v>35</v>
      </c>
      <c r="D99" t="s">
        <v>35</v>
      </c>
      <c r="E99" t="s">
        <v>35</v>
      </c>
      <c r="F99" t="s">
        <v>35</v>
      </c>
      <c r="G99" t="s">
        <v>35</v>
      </c>
    </row>
    <row r="100" spans="1:7">
      <c r="A100" t="s">
        <v>101</v>
      </c>
      <c r="B100" t="s">
        <v>102</v>
      </c>
      <c r="C100" t="s">
        <v>103</v>
      </c>
      <c r="D100" t="s">
        <v>104</v>
      </c>
      <c r="E100" t="s">
        <v>105</v>
      </c>
      <c r="F100" t="s">
        <v>106</v>
      </c>
      <c r="G100" t="s">
        <v>42</v>
      </c>
    </row>
    <row r="101" spans="1:7">
      <c r="A101" t="s">
        <v>35</v>
      </c>
      <c r="B101" t="s">
        <v>35</v>
      </c>
      <c r="C101" t="s">
        <v>35</v>
      </c>
      <c r="D101" t="s">
        <v>35</v>
      </c>
      <c r="E101" t="s">
        <v>35</v>
      </c>
      <c r="F101" t="s">
        <v>35</v>
      </c>
      <c r="G101" t="s">
        <v>35</v>
      </c>
    </row>
    <row r="102" spans="1:7">
      <c r="A102" t="s">
        <v>50</v>
      </c>
      <c r="B102" t="s">
        <v>51</v>
      </c>
      <c r="C102" t="s">
        <v>52</v>
      </c>
      <c r="D102" t="s">
        <v>53</v>
      </c>
      <c r="E102" t="s">
        <v>54</v>
      </c>
      <c r="F102" t="s">
        <v>55</v>
      </c>
      <c r="G102" t="s">
        <v>42</v>
      </c>
    </row>
    <row r="103" spans="1:7">
      <c r="A103" t="s">
        <v>35</v>
      </c>
      <c r="B103" t="s">
        <v>35</v>
      </c>
      <c r="C103" t="s">
        <v>35</v>
      </c>
      <c r="D103" t="s">
        <v>35</v>
      </c>
      <c r="E103" t="s">
        <v>35</v>
      </c>
      <c r="F103" t="s">
        <v>35</v>
      </c>
      <c r="G103" t="s">
        <v>35</v>
      </c>
    </row>
    <row r="104" spans="1:7">
      <c r="A104" t="s">
        <v>36</v>
      </c>
      <c r="B104" t="s">
        <v>37</v>
      </c>
      <c r="C104" t="s">
        <v>117</v>
      </c>
      <c r="D104" t="s">
        <v>118</v>
      </c>
      <c r="E104" t="s">
        <v>119</v>
      </c>
      <c r="F104" t="s">
        <v>120</v>
      </c>
      <c r="G104" t="s">
        <v>49</v>
      </c>
    </row>
    <row r="105" spans="1:7">
      <c r="A105" t="s">
        <v>35</v>
      </c>
      <c r="B105" t="s">
        <v>35</v>
      </c>
      <c r="C105" t="s">
        <v>35</v>
      </c>
      <c r="D105" t="s">
        <v>35</v>
      </c>
      <c r="E105" t="s">
        <v>35</v>
      </c>
      <c r="F105" t="s">
        <v>35</v>
      </c>
      <c r="G105" t="s">
        <v>35</v>
      </c>
    </row>
    <row r="106" spans="1:7">
      <c r="A106" t="s">
        <v>74</v>
      </c>
      <c r="B106" t="s">
        <v>75</v>
      </c>
      <c r="C106" t="s">
        <v>76</v>
      </c>
      <c r="D106" t="s">
        <v>77</v>
      </c>
      <c r="E106" t="s">
        <v>78</v>
      </c>
      <c r="F106" t="s">
        <v>79</v>
      </c>
      <c r="G106" t="s">
        <v>49</v>
      </c>
    </row>
    <row r="107" spans="1:7">
      <c r="A107" t="s">
        <v>35</v>
      </c>
      <c r="B107" t="s">
        <v>35</v>
      </c>
      <c r="C107" t="s">
        <v>35</v>
      </c>
      <c r="D107" t="s">
        <v>35</v>
      </c>
      <c r="E107" t="s">
        <v>35</v>
      </c>
      <c r="F107" t="s">
        <v>35</v>
      </c>
      <c r="G107" t="s">
        <v>35</v>
      </c>
    </row>
    <row r="108" spans="1:7">
      <c r="A108" t="s">
        <v>129</v>
      </c>
      <c r="B108" t="s">
        <v>130</v>
      </c>
      <c r="C108" t="s">
        <v>125</v>
      </c>
      <c r="D108" t="s">
        <v>131</v>
      </c>
      <c r="E108" t="s">
        <v>132</v>
      </c>
      <c r="F108" t="s">
        <v>133</v>
      </c>
      <c r="G108" t="s">
        <v>49</v>
      </c>
    </row>
    <row r="109" spans="1:7">
      <c r="A109" t="s">
        <v>35</v>
      </c>
      <c r="B109" t="s">
        <v>35</v>
      </c>
      <c r="C109" t="s">
        <v>35</v>
      </c>
      <c r="D109" t="s">
        <v>35</v>
      </c>
      <c r="E109" t="s">
        <v>35</v>
      </c>
      <c r="F109" t="s">
        <v>35</v>
      </c>
      <c r="G109" t="s">
        <v>35</v>
      </c>
    </row>
    <row r="110" spans="1:7">
      <c r="A110" t="s">
        <v>80</v>
      </c>
      <c r="B110" t="s">
        <v>81</v>
      </c>
      <c r="C110" t="s">
        <v>82</v>
      </c>
      <c r="D110" t="s">
        <v>83</v>
      </c>
      <c r="E110" t="s">
        <v>84</v>
      </c>
      <c r="F110" t="s">
        <v>85</v>
      </c>
      <c r="G110" t="s">
        <v>42</v>
      </c>
    </row>
    <row r="111" spans="1:7">
      <c r="A111" t="s">
        <v>35</v>
      </c>
      <c r="B111" t="s">
        <v>35</v>
      </c>
      <c r="C111" t="s">
        <v>35</v>
      </c>
      <c r="D111" t="s">
        <v>35</v>
      </c>
      <c r="E111" t="s">
        <v>35</v>
      </c>
      <c r="F111" t="s">
        <v>35</v>
      </c>
      <c r="G111" t="s">
        <v>35</v>
      </c>
    </row>
    <row r="112" spans="1:7">
      <c r="A112" t="s">
        <v>74</v>
      </c>
      <c r="B112" t="s">
        <v>75</v>
      </c>
      <c r="C112" t="s">
        <v>134</v>
      </c>
      <c r="D112" t="s">
        <v>135</v>
      </c>
      <c r="E112" t="s">
        <v>136</v>
      </c>
      <c r="F112" t="s">
        <v>137</v>
      </c>
      <c r="G112" t="s">
        <v>42</v>
      </c>
    </row>
    <row r="113" spans="1:7">
      <c r="A113" t="s">
        <v>35</v>
      </c>
      <c r="B113" t="s">
        <v>35</v>
      </c>
      <c r="C113" t="s">
        <v>35</v>
      </c>
      <c r="D113" t="s">
        <v>35</v>
      </c>
      <c r="E113" t="s">
        <v>35</v>
      </c>
      <c r="F113" t="s">
        <v>35</v>
      </c>
      <c r="G113" t="s">
        <v>35</v>
      </c>
    </row>
    <row r="114" spans="1:7">
      <c r="A114" t="s">
        <v>96</v>
      </c>
      <c r="B114" t="s">
        <v>97</v>
      </c>
      <c r="C114" t="s">
        <v>58</v>
      </c>
      <c r="D114" t="s">
        <v>98</v>
      </c>
      <c r="E114" t="s">
        <v>99</v>
      </c>
      <c r="F114" t="s">
        <v>100</v>
      </c>
      <c r="G114" t="s">
        <v>42</v>
      </c>
    </row>
    <row r="115" spans="1:7">
      <c r="A115" t="s">
        <v>35</v>
      </c>
      <c r="B115" t="s">
        <v>35</v>
      </c>
      <c r="C115" t="s">
        <v>35</v>
      </c>
      <c r="D115" t="s">
        <v>35</v>
      </c>
      <c r="E115" t="s">
        <v>35</v>
      </c>
      <c r="F115" t="s">
        <v>35</v>
      </c>
      <c r="G115" t="s">
        <v>35</v>
      </c>
    </row>
    <row r="116" spans="1:7">
      <c r="A116" t="s">
        <v>36</v>
      </c>
      <c r="B116" t="s">
        <v>37</v>
      </c>
      <c r="C116" t="s">
        <v>117</v>
      </c>
      <c r="D116" t="s">
        <v>118</v>
      </c>
      <c r="E116" t="s">
        <v>119</v>
      </c>
      <c r="F116" t="s">
        <v>120</v>
      </c>
      <c r="G116" t="s">
        <v>49</v>
      </c>
    </row>
    <row r="117" spans="1:7">
      <c r="A117" t="s">
        <v>35</v>
      </c>
      <c r="B117" t="s">
        <v>35</v>
      </c>
      <c r="C117" t="s">
        <v>35</v>
      </c>
      <c r="D117" t="s">
        <v>35</v>
      </c>
      <c r="E117" t="s">
        <v>35</v>
      </c>
      <c r="F117" t="s">
        <v>35</v>
      </c>
      <c r="G117" t="s">
        <v>35</v>
      </c>
    </row>
    <row r="118" spans="1:7">
      <c r="A118" t="s">
        <v>43</v>
      </c>
      <c r="B118" t="s">
        <v>44</v>
      </c>
      <c r="C118" t="s">
        <v>45</v>
      </c>
      <c r="D118" t="s">
        <v>46</v>
      </c>
      <c r="E118" t="s">
        <v>47</v>
      </c>
      <c r="F118" t="s">
        <v>48</v>
      </c>
      <c r="G118" t="s">
        <v>49</v>
      </c>
    </row>
    <row r="119" spans="1:7">
      <c r="A119" t="s">
        <v>35</v>
      </c>
      <c r="B119" t="s">
        <v>35</v>
      </c>
      <c r="C119" t="s">
        <v>35</v>
      </c>
      <c r="D119" t="s">
        <v>35</v>
      </c>
      <c r="E119" t="s">
        <v>35</v>
      </c>
      <c r="F119" t="s">
        <v>35</v>
      </c>
      <c r="G119" t="s">
        <v>35</v>
      </c>
    </row>
    <row r="120" spans="1:7">
      <c r="A120" t="s">
        <v>74</v>
      </c>
      <c r="B120" t="s">
        <v>75</v>
      </c>
      <c r="C120" t="s">
        <v>134</v>
      </c>
      <c r="D120" t="s">
        <v>135</v>
      </c>
      <c r="E120" t="s">
        <v>136</v>
      </c>
      <c r="F120" t="s">
        <v>137</v>
      </c>
      <c r="G120" t="s">
        <v>42</v>
      </c>
    </row>
    <row r="121" spans="1:7">
      <c r="A121" t="s">
        <v>35</v>
      </c>
      <c r="B121" t="s">
        <v>35</v>
      </c>
      <c r="C121" t="s">
        <v>35</v>
      </c>
      <c r="D121" t="s">
        <v>35</v>
      </c>
      <c r="E121" t="s">
        <v>35</v>
      </c>
      <c r="F121" t="s">
        <v>35</v>
      </c>
      <c r="G121" t="s">
        <v>35</v>
      </c>
    </row>
    <row r="122" spans="1:7">
      <c r="A122" t="s">
        <v>68</v>
      </c>
      <c r="B122" t="s">
        <v>69</v>
      </c>
      <c r="C122" t="s">
        <v>70</v>
      </c>
      <c r="D122" t="s">
        <v>71</v>
      </c>
      <c r="E122" t="s">
        <v>72</v>
      </c>
      <c r="F122" t="s">
        <v>73</v>
      </c>
      <c r="G122" t="s">
        <v>42</v>
      </c>
    </row>
    <row r="123" spans="1:7">
      <c r="A123" t="s">
        <v>35</v>
      </c>
      <c r="B123" t="s">
        <v>35</v>
      </c>
      <c r="C123" t="s">
        <v>35</v>
      </c>
      <c r="D123" t="s">
        <v>35</v>
      </c>
      <c r="E123" t="s">
        <v>35</v>
      </c>
      <c r="F123" t="s">
        <v>35</v>
      </c>
      <c r="G123" t="s">
        <v>35</v>
      </c>
    </row>
    <row r="124" spans="1:7">
      <c r="A124" t="s">
        <v>80</v>
      </c>
      <c r="B124" t="s">
        <v>81</v>
      </c>
      <c r="C124" t="s">
        <v>86</v>
      </c>
      <c r="D124" t="s">
        <v>87</v>
      </c>
      <c r="E124" t="s">
        <v>88</v>
      </c>
      <c r="F124" t="s">
        <v>89</v>
      </c>
      <c r="G124" t="s">
        <v>42</v>
      </c>
    </row>
    <row r="125" spans="1:7">
      <c r="A125" t="s">
        <v>35</v>
      </c>
      <c r="B125" t="s">
        <v>35</v>
      </c>
      <c r="C125" t="s">
        <v>35</v>
      </c>
      <c r="D125" t="s">
        <v>35</v>
      </c>
      <c r="E125" t="s">
        <v>35</v>
      </c>
      <c r="F125" t="s">
        <v>35</v>
      </c>
      <c r="G125" t="s">
        <v>35</v>
      </c>
    </row>
    <row r="126" spans="1:7">
      <c r="A126" t="s">
        <v>62</v>
      </c>
      <c r="B126" t="s">
        <v>63</v>
      </c>
      <c r="C126" t="s">
        <v>64</v>
      </c>
      <c r="D126" t="s">
        <v>65</v>
      </c>
      <c r="E126" t="s">
        <v>66</v>
      </c>
      <c r="F126" t="s">
        <v>67</v>
      </c>
      <c r="G126" t="s">
        <v>49</v>
      </c>
    </row>
    <row r="127" spans="1:7">
      <c r="A127" t="s">
        <v>35</v>
      </c>
      <c r="B127" t="s">
        <v>35</v>
      </c>
      <c r="C127" t="s">
        <v>35</v>
      </c>
      <c r="D127" t="s">
        <v>35</v>
      </c>
      <c r="E127" t="s">
        <v>35</v>
      </c>
      <c r="F127" t="s">
        <v>35</v>
      </c>
      <c r="G127" t="s">
        <v>35</v>
      </c>
    </row>
    <row r="128" spans="1:7">
      <c r="A128" t="s">
        <v>101</v>
      </c>
      <c r="B128" t="s">
        <v>102</v>
      </c>
      <c r="C128" t="s">
        <v>103</v>
      </c>
      <c r="D128" t="s">
        <v>104</v>
      </c>
      <c r="E128" t="s">
        <v>105</v>
      </c>
      <c r="F128" t="s">
        <v>106</v>
      </c>
      <c r="G128" t="s">
        <v>42</v>
      </c>
    </row>
    <row r="129" spans="1:7">
      <c r="A129" t="s">
        <v>35</v>
      </c>
      <c r="B129" t="s">
        <v>35</v>
      </c>
      <c r="C129" t="s">
        <v>35</v>
      </c>
      <c r="D129" t="s">
        <v>35</v>
      </c>
      <c r="E129" t="s">
        <v>35</v>
      </c>
      <c r="F129" t="s">
        <v>35</v>
      </c>
      <c r="G129" t="s">
        <v>35</v>
      </c>
    </row>
    <row r="130" spans="1:7">
      <c r="A130" t="s">
        <v>50</v>
      </c>
      <c r="B130" t="s">
        <v>51</v>
      </c>
      <c r="C130" t="s">
        <v>52</v>
      </c>
      <c r="D130" t="s">
        <v>53</v>
      </c>
      <c r="E130" t="s">
        <v>54</v>
      </c>
      <c r="F130" t="s">
        <v>55</v>
      </c>
      <c r="G130" t="s">
        <v>42</v>
      </c>
    </row>
    <row r="131" spans="1:7">
      <c r="A131" t="s">
        <v>35</v>
      </c>
      <c r="B131" t="s">
        <v>35</v>
      </c>
      <c r="C131" t="s">
        <v>35</v>
      </c>
      <c r="D131" t="s">
        <v>35</v>
      </c>
      <c r="E131" t="s">
        <v>35</v>
      </c>
      <c r="F131" t="s">
        <v>35</v>
      </c>
      <c r="G131" t="s">
        <v>35</v>
      </c>
    </row>
    <row r="132" spans="1:7">
      <c r="A132" t="s">
        <v>68</v>
      </c>
      <c r="B132" t="s">
        <v>69</v>
      </c>
      <c r="C132" t="s">
        <v>70</v>
      </c>
      <c r="D132" t="s">
        <v>71</v>
      </c>
      <c r="E132" t="s">
        <v>72</v>
      </c>
      <c r="F132" t="s">
        <v>73</v>
      </c>
      <c r="G132" t="s">
        <v>42</v>
      </c>
    </row>
    <row r="133" spans="1:7">
      <c r="A133" t="s">
        <v>35</v>
      </c>
      <c r="B133" t="s">
        <v>35</v>
      </c>
      <c r="C133" t="s">
        <v>35</v>
      </c>
      <c r="D133" t="s">
        <v>35</v>
      </c>
      <c r="E133" t="s">
        <v>35</v>
      </c>
      <c r="F133" t="s">
        <v>35</v>
      </c>
      <c r="G133" t="s">
        <v>35</v>
      </c>
    </row>
    <row r="134" spans="1:7">
      <c r="A134" t="s">
        <v>80</v>
      </c>
      <c r="B134" t="s">
        <v>81</v>
      </c>
      <c r="C134" t="s">
        <v>82</v>
      </c>
      <c r="D134" t="s">
        <v>83</v>
      </c>
      <c r="E134" t="s">
        <v>84</v>
      </c>
      <c r="F134" t="s">
        <v>85</v>
      </c>
      <c r="G134" t="s">
        <v>42</v>
      </c>
    </row>
    <row r="135" spans="1:7">
      <c r="A135" t="s">
        <v>35</v>
      </c>
      <c r="B135" t="s">
        <v>35</v>
      </c>
      <c r="C135" t="s">
        <v>35</v>
      </c>
      <c r="D135" t="s">
        <v>35</v>
      </c>
      <c r="E135" t="s">
        <v>35</v>
      </c>
      <c r="F135" t="s">
        <v>35</v>
      </c>
      <c r="G135" t="s">
        <v>35</v>
      </c>
    </row>
    <row r="136" spans="1:7">
      <c r="A136" t="s">
        <v>68</v>
      </c>
      <c r="B136" t="s">
        <v>69</v>
      </c>
      <c r="C136" t="s">
        <v>70</v>
      </c>
      <c r="D136" t="s">
        <v>71</v>
      </c>
      <c r="E136" t="s">
        <v>72</v>
      </c>
      <c r="F136" t="s">
        <v>73</v>
      </c>
      <c r="G136" t="s">
        <v>42</v>
      </c>
    </row>
    <row r="137" spans="1:7">
      <c r="A137" t="s">
        <v>35</v>
      </c>
      <c r="B137" t="s">
        <v>35</v>
      </c>
      <c r="C137" t="s">
        <v>35</v>
      </c>
      <c r="D137" t="s">
        <v>35</v>
      </c>
      <c r="E137" t="s">
        <v>35</v>
      </c>
      <c r="F137" t="s">
        <v>35</v>
      </c>
      <c r="G137" t="s">
        <v>35</v>
      </c>
    </row>
    <row r="138" spans="1:7">
      <c r="A138" t="s">
        <v>36</v>
      </c>
      <c r="B138" t="s">
        <v>37</v>
      </c>
      <c r="C138" t="s">
        <v>117</v>
      </c>
      <c r="D138" t="s">
        <v>118</v>
      </c>
      <c r="E138" t="s">
        <v>119</v>
      </c>
      <c r="F138" t="s">
        <v>120</v>
      </c>
      <c r="G138" t="s">
        <v>49</v>
      </c>
    </row>
    <row r="139" spans="1:7">
      <c r="A139" t="s">
        <v>35</v>
      </c>
      <c r="B139" t="s">
        <v>35</v>
      </c>
      <c r="C139" t="s">
        <v>35</v>
      </c>
      <c r="D139" t="s">
        <v>35</v>
      </c>
      <c r="E139" t="s">
        <v>35</v>
      </c>
      <c r="F139" t="s">
        <v>35</v>
      </c>
      <c r="G139" t="s">
        <v>35</v>
      </c>
    </row>
    <row r="140" spans="1:7">
      <c r="A140" t="s">
        <v>96</v>
      </c>
      <c r="B140" t="s">
        <v>97</v>
      </c>
      <c r="C140" t="s">
        <v>58</v>
      </c>
      <c r="D140" t="s">
        <v>98</v>
      </c>
      <c r="E140" t="s">
        <v>99</v>
      </c>
      <c r="F140" t="s">
        <v>100</v>
      </c>
      <c r="G140" t="s">
        <v>42</v>
      </c>
    </row>
    <row r="141" spans="1:7">
      <c r="A141" t="s">
        <v>35</v>
      </c>
      <c r="B141" t="s">
        <v>35</v>
      </c>
      <c r="C141" t="s">
        <v>35</v>
      </c>
      <c r="D141" t="s">
        <v>35</v>
      </c>
      <c r="E141" t="s">
        <v>35</v>
      </c>
      <c r="F141" t="s">
        <v>35</v>
      </c>
      <c r="G141" t="s">
        <v>35</v>
      </c>
    </row>
    <row r="142" spans="1:7">
      <c r="A142" t="s">
        <v>56</v>
      </c>
      <c r="B142" t="s">
        <v>57</v>
      </c>
      <c r="C142" t="s">
        <v>58</v>
      </c>
      <c r="D142" t="s">
        <v>59</v>
      </c>
      <c r="E142" t="s">
        <v>60</v>
      </c>
      <c r="F142" t="s">
        <v>61</v>
      </c>
      <c r="G142" t="s">
        <v>49</v>
      </c>
    </row>
    <row r="143" spans="1:7">
      <c r="A143" t="s">
        <v>35</v>
      </c>
      <c r="B143" t="s">
        <v>35</v>
      </c>
      <c r="C143" t="s">
        <v>35</v>
      </c>
      <c r="D143" t="s">
        <v>35</v>
      </c>
      <c r="E143" t="s">
        <v>35</v>
      </c>
      <c r="F143" t="s">
        <v>35</v>
      </c>
      <c r="G143" t="s">
        <v>35</v>
      </c>
    </row>
    <row r="144" spans="1:7">
      <c r="A144" t="s">
        <v>62</v>
      </c>
      <c r="B144" t="s">
        <v>63</v>
      </c>
      <c r="C144" t="s">
        <v>64</v>
      </c>
      <c r="D144" t="s">
        <v>65</v>
      </c>
      <c r="E144" t="s">
        <v>66</v>
      </c>
      <c r="F144" t="s">
        <v>67</v>
      </c>
      <c r="G144" t="s">
        <v>49</v>
      </c>
    </row>
    <row r="145" spans="1:7">
      <c r="A145" t="s">
        <v>35</v>
      </c>
      <c r="B145" t="s">
        <v>35</v>
      </c>
      <c r="C145" t="s">
        <v>35</v>
      </c>
      <c r="D145" t="s">
        <v>35</v>
      </c>
      <c r="E145" t="s">
        <v>35</v>
      </c>
      <c r="F145" t="s">
        <v>35</v>
      </c>
      <c r="G145" t="s">
        <v>35</v>
      </c>
    </row>
    <row r="146" spans="1:7">
      <c r="A146" t="s">
        <v>80</v>
      </c>
      <c r="B146" t="s">
        <v>81</v>
      </c>
      <c r="C146" t="s">
        <v>82</v>
      </c>
      <c r="D146" t="s">
        <v>83</v>
      </c>
      <c r="E146" t="s">
        <v>84</v>
      </c>
      <c r="F146" t="s">
        <v>85</v>
      </c>
      <c r="G146" t="s">
        <v>42</v>
      </c>
    </row>
    <row r="147" spans="1:7">
      <c r="A147" t="s">
        <v>35</v>
      </c>
      <c r="B147" t="s">
        <v>35</v>
      </c>
      <c r="C147" t="s">
        <v>35</v>
      </c>
      <c r="D147" t="s">
        <v>35</v>
      </c>
      <c r="E147" t="s">
        <v>35</v>
      </c>
      <c r="F147" t="s">
        <v>35</v>
      </c>
      <c r="G147" t="s">
        <v>35</v>
      </c>
    </row>
    <row r="148" spans="1:7">
      <c r="A148" t="s">
        <v>80</v>
      </c>
      <c r="B148" t="s">
        <v>81</v>
      </c>
      <c r="C148" t="s">
        <v>86</v>
      </c>
      <c r="D148" t="s">
        <v>87</v>
      </c>
      <c r="E148" t="s">
        <v>88</v>
      </c>
      <c r="F148" t="s">
        <v>89</v>
      </c>
      <c r="G148" t="s">
        <v>42</v>
      </c>
    </row>
    <row r="149" spans="1:7">
      <c r="A149" t="s">
        <v>35</v>
      </c>
      <c r="B149" t="s">
        <v>35</v>
      </c>
      <c r="C149" t="s">
        <v>35</v>
      </c>
      <c r="D149" t="s">
        <v>35</v>
      </c>
      <c r="E149" t="s">
        <v>35</v>
      </c>
      <c r="F149" t="s">
        <v>35</v>
      </c>
      <c r="G149" t="s">
        <v>35</v>
      </c>
    </row>
    <row r="150" spans="1:7">
      <c r="A150" t="s">
        <v>80</v>
      </c>
      <c r="B150" t="s">
        <v>81</v>
      </c>
      <c r="C150" t="s">
        <v>86</v>
      </c>
      <c r="D150" t="s">
        <v>87</v>
      </c>
      <c r="E150" t="s">
        <v>88</v>
      </c>
      <c r="F150" t="s">
        <v>89</v>
      </c>
      <c r="G150" t="s">
        <v>42</v>
      </c>
    </row>
    <row r="151" spans="1:7">
      <c r="A151" t="s">
        <v>35</v>
      </c>
      <c r="B151" t="s">
        <v>35</v>
      </c>
      <c r="C151" t="s">
        <v>35</v>
      </c>
      <c r="D151" t="s">
        <v>35</v>
      </c>
      <c r="E151" t="s">
        <v>35</v>
      </c>
      <c r="F151" t="s">
        <v>35</v>
      </c>
      <c r="G151" t="s">
        <v>35</v>
      </c>
    </row>
    <row r="152" spans="1:7">
      <c r="A152" t="s">
        <v>36</v>
      </c>
      <c r="B152" t="s">
        <v>37</v>
      </c>
      <c r="C152" t="s">
        <v>38</v>
      </c>
      <c r="D152" t="s">
        <v>39</v>
      </c>
      <c r="E152" t="s">
        <v>40</v>
      </c>
      <c r="F152" t="s">
        <v>41</v>
      </c>
      <c r="G152" t="s">
        <v>42</v>
      </c>
    </row>
    <row r="153" spans="1:7">
      <c r="A153" t="s">
        <v>35</v>
      </c>
      <c r="B153" t="s">
        <v>35</v>
      </c>
      <c r="C153" t="s">
        <v>35</v>
      </c>
      <c r="D153" t="s">
        <v>35</v>
      </c>
      <c r="E153" t="s">
        <v>35</v>
      </c>
      <c r="F153" t="s">
        <v>35</v>
      </c>
      <c r="G153" t="s">
        <v>35</v>
      </c>
    </row>
    <row r="154" spans="1:7">
      <c r="A154" t="s">
        <v>68</v>
      </c>
      <c r="B154" t="s">
        <v>69</v>
      </c>
      <c r="C154" t="s">
        <v>70</v>
      </c>
      <c r="D154" t="s">
        <v>71</v>
      </c>
      <c r="E154" t="s">
        <v>72</v>
      </c>
      <c r="F154" t="s">
        <v>73</v>
      </c>
      <c r="G154" t="s">
        <v>42</v>
      </c>
    </row>
    <row r="155" spans="1:7">
      <c r="A155" t="s">
        <v>35</v>
      </c>
      <c r="B155" t="s">
        <v>35</v>
      </c>
      <c r="C155" t="s">
        <v>35</v>
      </c>
      <c r="D155" t="s">
        <v>35</v>
      </c>
      <c r="E155" t="s">
        <v>35</v>
      </c>
      <c r="F155" t="s">
        <v>35</v>
      </c>
      <c r="G155" t="s">
        <v>35</v>
      </c>
    </row>
    <row r="156" spans="1:7">
      <c r="A156" t="s">
        <v>101</v>
      </c>
      <c r="B156" t="s">
        <v>102</v>
      </c>
      <c r="C156" t="s">
        <v>103</v>
      </c>
      <c r="D156" t="s">
        <v>104</v>
      </c>
      <c r="E156" t="s">
        <v>105</v>
      </c>
      <c r="F156" t="s">
        <v>106</v>
      </c>
      <c r="G156" t="s">
        <v>42</v>
      </c>
    </row>
    <row r="157" spans="1:7">
      <c r="A157" t="s">
        <v>35</v>
      </c>
      <c r="B157" t="s">
        <v>35</v>
      </c>
      <c r="C157" t="s">
        <v>35</v>
      </c>
      <c r="D157" t="s">
        <v>35</v>
      </c>
      <c r="E157" t="s">
        <v>35</v>
      </c>
      <c r="F157" t="s">
        <v>35</v>
      </c>
      <c r="G157" t="s">
        <v>35</v>
      </c>
    </row>
    <row r="158" spans="1:7">
      <c r="A158" t="s">
        <v>90</v>
      </c>
      <c r="B158" t="s">
        <v>91</v>
      </c>
      <c r="C158" t="s">
        <v>92</v>
      </c>
      <c r="D158" t="s">
        <v>93</v>
      </c>
      <c r="E158" t="s">
        <v>94</v>
      </c>
      <c r="F158" t="s">
        <v>95</v>
      </c>
      <c r="G158" t="s">
        <v>42</v>
      </c>
    </row>
    <row r="159" spans="1:7">
      <c r="A159" t="s">
        <v>35</v>
      </c>
      <c r="B159" t="s">
        <v>35</v>
      </c>
      <c r="C159" t="s">
        <v>35</v>
      </c>
      <c r="D159" t="s">
        <v>35</v>
      </c>
      <c r="E159" t="s">
        <v>35</v>
      </c>
      <c r="F159" t="s">
        <v>35</v>
      </c>
      <c r="G159" t="s">
        <v>35</v>
      </c>
    </row>
    <row r="160" spans="1:7">
      <c r="A160" t="s">
        <v>43</v>
      </c>
      <c r="B160" t="s">
        <v>44</v>
      </c>
      <c r="C160" t="s">
        <v>45</v>
      </c>
      <c r="D160" t="s">
        <v>46</v>
      </c>
      <c r="E160" t="s">
        <v>47</v>
      </c>
      <c r="F160" t="s">
        <v>48</v>
      </c>
      <c r="G160" t="s">
        <v>49</v>
      </c>
    </row>
    <row r="161" spans="1:7">
      <c r="A161" t="s">
        <v>35</v>
      </c>
      <c r="B161" t="s">
        <v>35</v>
      </c>
      <c r="C161" t="s">
        <v>35</v>
      </c>
      <c r="D161" t="s">
        <v>35</v>
      </c>
      <c r="E161" t="s">
        <v>35</v>
      </c>
      <c r="F161" t="s">
        <v>35</v>
      </c>
      <c r="G161" t="s">
        <v>35</v>
      </c>
    </row>
    <row r="162" spans="1:7">
      <c r="A162" t="s">
        <v>43</v>
      </c>
      <c r="B162" t="s">
        <v>44</v>
      </c>
      <c r="C162" t="s">
        <v>45</v>
      </c>
      <c r="D162" t="s">
        <v>46</v>
      </c>
      <c r="E162" t="s">
        <v>47</v>
      </c>
      <c r="F162" t="s">
        <v>48</v>
      </c>
      <c r="G162" t="s">
        <v>49</v>
      </c>
    </row>
    <row r="163" spans="1:7">
      <c r="A163" t="s">
        <v>35</v>
      </c>
      <c r="B163" t="s">
        <v>35</v>
      </c>
      <c r="C163" t="s">
        <v>35</v>
      </c>
      <c r="D163" t="s">
        <v>35</v>
      </c>
      <c r="E163" t="s">
        <v>35</v>
      </c>
      <c r="F163" t="s">
        <v>35</v>
      </c>
      <c r="G163" t="s">
        <v>35</v>
      </c>
    </row>
    <row r="164" spans="1:7">
      <c r="A164" t="s">
        <v>129</v>
      </c>
      <c r="B164" t="s">
        <v>130</v>
      </c>
      <c r="C164" t="s">
        <v>125</v>
      </c>
      <c r="D164" t="s">
        <v>131</v>
      </c>
      <c r="E164" t="s">
        <v>132</v>
      </c>
      <c r="F164" t="s">
        <v>133</v>
      </c>
      <c r="G164" t="s">
        <v>49</v>
      </c>
    </row>
    <row r="165" spans="1:7">
      <c r="A165" t="s">
        <v>35</v>
      </c>
      <c r="B165" t="s">
        <v>35</v>
      </c>
      <c r="C165" t="s">
        <v>35</v>
      </c>
      <c r="D165" t="s">
        <v>35</v>
      </c>
      <c r="E165" t="s">
        <v>35</v>
      </c>
      <c r="F165" t="s">
        <v>35</v>
      </c>
      <c r="G165" t="s">
        <v>35</v>
      </c>
    </row>
    <row r="166" spans="1:7">
      <c r="A166" t="s">
        <v>43</v>
      </c>
      <c r="B166" t="s">
        <v>44</v>
      </c>
      <c r="C166" t="s">
        <v>45</v>
      </c>
      <c r="D166" t="s">
        <v>46</v>
      </c>
      <c r="E166" t="s">
        <v>47</v>
      </c>
      <c r="F166" t="s">
        <v>48</v>
      </c>
      <c r="G166" t="s">
        <v>49</v>
      </c>
    </row>
    <row r="167" spans="1:7">
      <c r="A167" t="s">
        <v>35</v>
      </c>
      <c r="B167" t="s">
        <v>35</v>
      </c>
      <c r="C167" t="s">
        <v>35</v>
      </c>
      <c r="D167" t="s">
        <v>35</v>
      </c>
      <c r="E167" t="s">
        <v>35</v>
      </c>
      <c r="F167" t="s">
        <v>35</v>
      </c>
      <c r="G167" t="s">
        <v>35</v>
      </c>
    </row>
    <row r="168" spans="1:7">
      <c r="A168" t="s">
        <v>111</v>
      </c>
      <c r="B168" t="s">
        <v>112</v>
      </c>
      <c r="C168" t="s">
        <v>113</v>
      </c>
      <c r="D168" t="s">
        <v>114</v>
      </c>
      <c r="E168" t="s">
        <v>115</v>
      </c>
      <c r="F168" t="s">
        <v>116</v>
      </c>
      <c r="G168" t="s">
        <v>42</v>
      </c>
    </row>
    <row r="169" spans="1:7">
      <c r="A169" t="s">
        <v>35</v>
      </c>
      <c r="B169" t="s">
        <v>35</v>
      </c>
      <c r="C169" t="s">
        <v>35</v>
      </c>
      <c r="D169" t="s">
        <v>35</v>
      </c>
      <c r="E169" t="s">
        <v>35</v>
      </c>
      <c r="F169" t="s">
        <v>35</v>
      </c>
      <c r="G169" t="s">
        <v>35</v>
      </c>
    </row>
    <row r="170" spans="1:7">
      <c r="A170" t="s">
        <v>36</v>
      </c>
      <c r="B170" t="s">
        <v>37</v>
      </c>
      <c r="C170" t="s">
        <v>38</v>
      </c>
      <c r="D170" t="s">
        <v>39</v>
      </c>
      <c r="E170" t="s">
        <v>40</v>
      </c>
      <c r="F170" t="s">
        <v>41</v>
      </c>
      <c r="G170" t="s">
        <v>42</v>
      </c>
    </row>
    <row r="171" spans="1:7">
      <c r="A171" t="s">
        <v>35</v>
      </c>
      <c r="B171" t="s">
        <v>35</v>
      </c>
      <c r="C171" t="s">
        <v>35</v>
      </c>
      <c r="D171" t="s">
        <v>35</v>
      </c>
      <c r="E171" t="s">
        <v>35</v>
      </c>
      <c r="F171" t="s">
        <v>35</v>
      </c>
      <c r="G171" t="s">
        <v>35</v>
      </c>
    </row>
    <row r="172" spans="1:7">
      <c r="A172" t="s">
        <v>111</v>
      </c>
      <c r="B172" t="s">
        <v>112</v>
      </c>
      <c r="C172" t="s">
        <v>113</v>
      </c>
      <c r="D172" t="s">
        <v>114</v>
      </c>
      <c r="E172" t="s">
        <v>115</v>
      </c>
      <c r="F172" t="s">
        <v>116</v>
      </c>
      <c r="G172" t="s">
        <v>42</v>
      </c>
    </row>
    <row r="173" spans="1:7">
      <c r="A173" t="s">
        <v>35</v>
      </c>
      <c r="B173" t="s">
        <v>35</v>
      </c>
      <c r="C173" t="s">
        <v>35</v>
      </c>
      <c r="D173" t="s">
        <v>35</v>
      </c>
      <c r="E173" t="s">
        <v>35</v>
      </c>
      <c r="F173" t="s">
        <v>35</v>
      </c>
      <c r="G173" t="s">
        <v>35</v>
      </c>
    </row>
    <row r="174" spans="1:7">
      <c r="A174" t="s">
        <v>56</v>
      </c>
      <c r="B174" t="s">
        <v>57</v>
      </c>
      <c r="C174" t="s">
        <v>107</v>
      </c>
      <c r="D174" t="s">
        <v>108</v>
      </c>
      <c r="E174" t="s">
        <v>109</v>
      </c>
      <c r="F174" t="s">
        <v>110</v>
      </c>
      <c r="G174" t="s">
        <v>42</v>
      </c>
    </row>
    <row r="175" spans="1:7">
      <c r="A175" t="s">
        <v>35</v>
      </c>
      <c r="B175" t="s">
        <v>35</v>
      </c>
      <c r="C175" t="s">
        <v>35</v>
      </c>
      <c r="D175" t="s">
        <v>35</v>
      </c>
      <c r="E175" t="s">
        <v>35</v>
      </c>
      <c r="F175" t="s">
        <v>35</v>
      </c>
      <c r="G175" t="s">
        <v>35</v>
      </c>
    </row>
    <row r="176" spans="1:7">
      <c r="A176" t="s">
        <v>36</v>
      </c>
      <c r="B176" t="s">
        <v>37</v>
      </c>
      <c r="C176" t="s">
        <v>38</v>
      </c>
      <c r="D176" t="s">
        <v>39</v>
      </c>
      <c r="E176" t="s">
        <v>40</v>
      </c>
      <c r="F176" t="s">
        <v>41</v>
      </c>
      <c r="G176" t="s">
        <v>42</v>
      </c>
    </row>
    <row r="177" spans="1:7">
      <c r="A177" t="s">
        <v>35</v>
      </c>
      <c r="B177" t="s">
        <v>35</v>
      </c>
      <c r="C177" t="s">
        <v>35</v>
      </c>
      <c r="D177" t="s">
        <v>35</v>
      </c>
      <c r="E177" t="s">
        <v>35</v>
      </c>
      <c r="F177" t="s">
        <v>35</v>
      </c>
      <c r="G177" t="s">
        <v>35</v>
      </c>
    </row>
    <row r="178" spans="1:7">
      <c r="A178" t="s">
        <v>96</v>
      </c>
      <c r="B178" t="s">
        <v>97</v>
      </c>
      <c r="C178" t="s">
        <v>58</v>
      </c>
      <c r="D178" t="s">
        <v>98</v>
      </c>
      <c r="E178" t="s">
        <v>99</v>
      </c>
      <c r="F178" t="s">
        <v>100</v>
      </c>
      <c r="G178" t="s">
        <v>42</v>
      </c>
    </row>
    <row r="179" spans="1:7">
      <c r="A179" t="s">
        <v>35</v>
      </c>
      <c r="B179" t="s">
        <v>35</v>
      </c>
      <c r="C179" t="s">
        <v>35</v>
      </c>
      <c r="D179" t="s">
        <v>35</v>
      </c>
      <c r="E179" t="s">
        <v>35</v>
      </c>
      <c r="F179" t="s">
        <v>35</v>
      </c>
      <c r="G179" t="s">
        <v>35</v>
      </c>
    </row>
    <row r="180" spans="1:7">
      <c r="A180" t="s">
        <v>80</v>
      </c>
      <c r="B180" t="s">
        <v>81</v>
      </c>
      <c r="C180" t="s">
        <v>86</v>
      </c>
      <c r="D180" t="s">
        <v>87</v>
      </c>
      <c r="E180" t="s">
        <v>88</v>
      </c>
      <c r="F180" t="s">
        <v>89</v>
      </c>
      <c r="G180" t="s">
        <v>42</v>
      </c>
    </row>
    <row r="181" spans="1:7">
      <c r="A181" t="s">
        <v>35</v>
      </c>
      <c r="B181" t="s">
        <v>35</v>
      </c>
      <c r="C181" t="s">
        <v>35</v>
      </c>
      <c r="D181" t="s">
        <v>35</v>
      </c>
      <c r="E181" t="s">
        <v>35</v>
      </c>
      <c r="F181" t="s">
        <v>35</v>
      </c>
      <c r="G181" t="s">
        <v>35</v>
      </c>
    </row>
    <row r="182" spans="1:7">
      <c r="A182" t="s">
        <v>74</v>
      </c>
      <c r="B182" t="s">
        <v>75</v>
      </c>
      <c r="C182" t="s">
        <v>134</v>
      </c>
      <c r="D182" t="s">
        <v>135</v>
      </c>
      <c r="E182" t="s">
        <v>136</v>
      </c>
      <c r="F182" t="s">
        <v>137</v>
      </c>
      <c r="G182" t="s">
        <v>42</v>
      </c>
    </row>
    <row r="183" spans="1:7">
      <c r="A183" t="s">
        <v>35</v>
      </c>
      <c r="B183" t="s">
        <v>35</v>
      </c>
      <c r="C183" t="s">
        <v>35</v>
      </c>
      <c r="D183" t="s">
        <v>35</v>
      </c>
      <c r="E183" t="s">
        <v>35</v>
      </c>
      <c r="F183" t="s">
        <v>35</v>
      </c>
      <c r="G183" t="s">
        <v>35</v>
      </c>
    </row>
    <row r="184" spans="1:7">
      <c r="A184" t="s">
        <v>43</v>
      </c>
      <c r="B184" t="s">
        <v>44</v>
      </c>
      <c r="C184" t="s">
        <v>45</v>
      </c>
      <c r="D184" t="s">
        <v>46</v>
      </c>
      <c r="E184" t="s">
        <v>47</v>
      </c>
      <c r="F184" t="s">
        <v>48</v>
      </c>
      <c r="G184" t="s">
        <v>49</v>
      </c>
    </row>
    <row r="185" spans="1:7">
      <c r="A185" t="s">
        <v>35</v>
      </c>
      <c r="B185" t="s">
        <v>35</v>
      </c>
      <c r="C185" t="s">
        <v>35</v>
      </c>
      <c r="D185" t="s">
        <v>35</v>
      </c>
      <c r="E185" t="s">
        <v>35</v>
      </c>
      <c r="F185" t="s">
        <v>35</v>
      </c>
      <c r="G185" t="s">
        <v>35</v>
      </c>
    </row>
    <row r="186" spans="1:7">
      <c r="A186" t="s">
        <v>68</v>
      </c>
      <c r="B186" t="s">
        <v>69</v>
      </c>
      <c r="C186" t="s">
        <v>70</v>
      </c>
      <c r="D186" t="s">
        <v>71</v>
      </c>
      <c r="E186" t="s">
        <v>72</v>
      </c>
      <c r="F186" t="s">
        <v>73</v>
      </c>
      <c r="G186" t="s">
        <v>42</v>
      </c>
    </row>
    <row r="187" spans="1:7">
      <c r="A187" t="s">
        <v>35</v>
      </c>
      <c r="B187" t="s">
        <v>35</v>
      </c>
      <c r="C187" t="s">
        <v>35</v>
      </c>
      <c r="D187" t="s">
        <v>35</v>
      </c>
      <c r="E187" t="s">
        <v>35</v>
      </c>
      <c r="F187" t="s">
        <v>35</v>
      </c>
      <c r="G187" t="s">
        <v>35</v>
      </c>
    </row>
    <row r="188" spans="1:7">
      <c r="A188" t="s">
        <v>56</v>
      </c>
      <c r="B188" t="s">
        <v>57</v>
      </c>
      <c r="C188" t="s">
        <v>107</v>
      </c>
      <c r="D188" t="s">
        <v>108</v>
      </c>
      <c r="E188" t="s">
        <v>109</v>
      </c>
      <c r="F188" t="s">
        <v>110</v>
      </c>
      <c r="G188" t="s">
        <v>42</v>
      </c>
    </row>
    <row r="189" spans="1:7">
      <c r="A189" t="s">
        <v>35</v>
      </c>
      <c r="B189" t="s">
        <v>35</v>
      </c>
      <c r="C189" t="s">
        <v>35</v>
      </c>
      <c r="D189" t="s">
        <v>35</v>
      </c>
      <c r="E189" t="s">
        <v>35</v>
      </c>
      <c r="F189" t="s">
        <v>35</v>
      </c>
      <c r="G189" t="s">
        <v>35</v>
      </c>
    </row>
    <row r="190" spans="1:7">
      <c r="A190" t="s">
        <v>74</v>
      </c>
      <c r="B190" t="s">
        <v>75</v>
      </c>
      <c r="C190" t="s">
        <v>125</v>
      </c>
      <c r="D190" t="s">
        <v>126</v>
      </c>
      <c r="E190" t="s">
        <v>127</v>
      </c>
      <c r="F190" t="s">
        <v>128</v>
      </c>
      <c r="G190" t="s">
        <v>49</v>
      </c>
    </row>
    <row r="191" spans="1:7">
      <c r="A191" t="s">
        <v>35</v>
      </c>
      <c r="B191" t="s">
        <v>35</v>
      </c>
      <c r="C191" t="s">
        <v>35</v>
      </c>
      <c r="D191" t="s">
        <v>35</v>
      </c>
      <c r="E191" t="s">
        <v>35</v>
      </c>
      <c r="F191" t="s">
        <v>35</v>
      </c>
      <c r="G191" t="s">
        <v>35</v>
      </c>
    </row>
    <row r="192" spans="1:7">
      <c r="A192" t="s">
        <v>138</v>
      </c>
      <c r="B192" t="s">
        <v>139</v>
      </c>
      <c r="C192" t="s">
        <v>140</v>
      </c>
      <c r="D192" t="s">
        <v>141</v>
      </c>
      <c r="E192" t="s">
        <v>142</v>
      </c>
      <c r="F192" t="s">
        <v>143</v>
      </c>
      <c r="G192" t="s">
        <v>49</v>
      </c>
    </row>
    <row r="193" spans="1:7">
      <c r="A193" t="s">
        <v>35</v>
      </c>
      <c r="B193" t="s">
        <v>35</v>
      </c>
      <c r="C193" t="s">
        <v>35</v>
      </c>
      <c r="D193" t="s">
        <v>35</v>
      </c>
      <c r="E193" t="s">
        <v>35</v>
      </c>
      <c r="F193" t="s">
        <v>35</v>
      </c>
      <c r="G193" t="s">
        <v>35</v>
      </c>
    </row>
    <row r="194" spans="1:7">
      <c r="A194" t="s">
        <v>36</v>
      </c>
      <c r="B194" t="s">
        <v>37</v>
      </c>
      <c r="C194" t="s">
        <v>117</v>
      </c>
      <c r="D194" t="s">
        <v>118</v>
      </c>
      <c r="E194" t="s">
        <v>119</v>
      </c>
      <c r="F194" t="s">
        <v>120</v>
      </c>
      <c r="G194" t="s">
        <v>49</v>
      </c>
    </row>
    <row r="195" spans="1:7">
      <c r="A195" t="s">
        <v>35</v>
      </c>
      <c r="B195" t="s">
        <v>35</v>
      </c>
      <c r="C195" t="s">
        <v>35</v>
      </c>
      <c r="D195" t="s">
        <v>35</v>
      </c>
      <c r="E195" t="s">
        <v>35</v>
      </c>
      <c r="F195" t="s">
        <v>35</v>
      </c>
      <c r="G195" t="s">
        <v>35</v>
      </c>
    </row>
    <row r="196" spans="1:7">
      <c r="A196" t="s">
        <v>50</v>
      </c>
      <c r="B196" t="s">
        <v>51</v>
      </c>
      <c r="C196" t="s">
        <v>52</v>
      </c>
      <c r="D196" t="s">
        <v>53</v>
      </c>
      <c r="E196" t="s">
        <v>54</v>
      </c>
      <c r="F196" t="s">
        <v>55</v>
      </c>
      <c r="G196" t="s">
        <v>42</v>
      </c>
    </row>
    <row r="197" spans="1:7">
      <c r="A197" t="s">
        <v>35</v>
      </c>
      <c r="B197" t="s">
        <v>35</v>
      </c>
      <c r="C197" t="s">
        <v>35</v>
      </c>
      <c r="D197" t="s">
        <v>35</v>
      </c>
      <c r="E197" t="s">
        <v>35</v>
      </c>
      <c r="F197" t="s">
        <v>35</v>
      </c>
      <c r="G197" t="s">
        <v>35</v>
      </c>
    </row>
    <row r="198" spans="1:7">
      <c r="A198" t="s">
        <v>68</v>
      </c>
      <c r="B198" t="s">
        <v>69</v>
      </c>
      <c r="C198" t="s">
        <v>70</v>
      </c>
      <c r="D198" t="s">
        <v>71</v>
      </c>
      <c r="E198" t="s">
        <v>72</v>
      </c>
      <c r="F198" t="s">
        <v>73</v>
      </c>
      <c r="G198" t="s">
        <v>42</v>
      </c>
    </row>
    <row r="199" spans="1:7">
      <c r="A199" t="s">
        <v>35</v>
      </c>
      <c r="B199" t="s">
        <v>35</v>
      </c>
      <c r="C199" t="s">
        <v>35</v>
      </c>
      <c r="D199" t="s">
        <v>35</v>
      </c>
      <c r="E199" t="s">
        <v>35</v>
      </c>
      <c r="F199" t="s">
        <v>35</v>
      </c>
      <c r="G199" t="s">
        <v>35</v>
      </c>
    </row>
    <row r="200" spans="1:7">
      <c r="A200" t="s">
        <v>111</v>
      </c>
      <c r="B200" t="s">
        <v>112</v>
      </c>
      <c r="C200" t="s">
        <v>113</v>
      </c>
      <c r="D200" t="s">
        <v>114</v>
      </c>
      <c r="E200" t="s">
        <v>115</v>
      </c>
      <c r="F200" t="s">
        <v>116</v>
      </c>
      <c r="G200" t="s">
        <v>42</v>
      </c>
    </row>
    <row r="201" spans="1:7">
      <c r="A201" t="s">
        <v>35</v>
      </c>
      <c r="B201" t="s">
        <v>35</v>
      </c>
      <c r="C201" t="s">
        <v>35</v>
      </c>
      <c r="D201" t="s">
        <v>35</v>
      </c>
      <c r="E201" t="s">
        <v>35</v>
      </c>
      <c r="F201" t="s">
        <v>35</v>
      </c>
      <c r="G201" t="s">
        <v>35</v>
      </c>
    </row>
    <row r="202" spans="1:7">
      <c r="A202" t="s">
        <v>111</v>
      </c>
      <c r="B202" t="s">
        <v>112</v>
      </c>
      <c r="C202" t="s">
        <v>113</v>
      </c>
      <c r="D202" t="s">
        <v>114</v>
      </c>
      <c r="E202" t="s">
        <v>115</v>
      </c>
      <c r="F202" t="s">
        <v>116</v>
      </c>
      <c r="G202" t="s">
        <v>42</v>
      </c>
    </row>
    <row r="203" spans="1:7">
      <c r="A203" t="s">
        <v>35</v>
      </c>
      <c r="B203" t="s">
        <v>35</v>
      </c>
      <c r="C203" t="s">
        <v>35</v>
      </c>
      <c r="D203" t="s">
        <v>35</v>
      </c>
      <c r="E203" t="s">
        <v>35</v>
      </c>
      <c r="F203" t="s">
        <v>35</v>
      </c>
      <c r="G203" t="s">
        <v>35</v>
      </c>
    </row>
    <row r="204" spans="1:7">
      <c r="A204" t="s">
        <v>138</v>
      </c>
      <c r="B204" t="s">
        <v>139</v>
      </c>
      <c r="C204" t="s">
        <v>140</v>
      </c>
      <c r="D204" t="s">
        <v>141</v>
      </c>
      <c r="E204" t="s">
        <v>142</v>
      </c>
      <c r="F204" t="s">
        <v>143</v>
      </c>
      <c r="G204" t="s">
        <v>49</v>
      </c>
    </row>
    <row r="205" spans="1:7">
      <c r="A205" t="s">
        <v>35</v>
      </c>
      <c r="B205" t="s">
        <v>35</v>
      </c>
      <c r="C205" t="s">
        <v>35</v>
      </c>
      <c r="D205" t="s">
        <v>35</v>
      </c>
      <c r="E205" t="s">
        <v>35</v>
      </c>
      <c r="F205" t="s">
        <v>35</v>
      </c>
      <c r="G205" t="s">
        <v>35</v>
      </c>
    </row>
    <row r="206" spans="1:7">
      <c r="A206" t="s">
        <v>50</v>
      </c>
      <c r="B206" t="s">
        <v>51</v>
      </c>
      <c r="C206" t="s">
        <v>52</v>
      </c>
      <c r="D206" t="s">
        <v>53</v>
      </c>
      <c r="E206" t="s">
        <v>54</v>
      </c>
      <c r="F206" t="s">
        <v>55</v>
      </c>
      <c r="G206" t="s">
        <v>42</v>
      </c>
    </row>
    <row r="207" spans="1:7">
      <c r="A207" t="s">
        <v>35</v>
      </c>
      <c r="B207" t="s">
        <v>35</v>
      </c>
      <c r="C207" t="s">
        <v>35</v>
      </c>
      <c r="D207" t="s">
        <v>35</v>
      </c>
      <c r="E207" t="s">
        <v>35</v>
      </c>
      <c r="F207" t="s">
        <v>35</v>
      </c>
      <c r="G207" t="s">
        <v>35</v>
      </c>
    </row>
    <row r="208" spans="1:7">
      <c r="A208" t="s">
        <v>36</v>
      </c>
      <c r="B208" t="s">
        <v>37</v>
      </c>
      <c r="C208" t="s">
        <v>38</v>
      </c>
      <c r="D208" t="s">
        <v>39</v>
      </c>
      <c r="E208" t="s">
        <v>40</v>
      </c>
      <c r="F208" t="s">
        <v>41</v>
      </c>
      <c r="G208" t="s">
        <v>42</v>
      </c>
    </row>
    <row r="209" spans="1:7">
      <c r="A209" t="s">
        <v>35</v>
      </c>
      <c r="B209" t="s">
        <v>35</v>
      </c>
      <c r="C209" t="s">
        <v>35</v>
      </c>
      <c r="D209" t="s">
        <v>35</v>
      </c>
      <c r="E209" t="s">
        <v>35</v>
      </c>
      <c r="F209" t="s">
        <v>35</v>
      </c>
      <c r="G209" t="s">
        <v>35</v>
      </c>
    </row>
    <row r="210" spans="1:7">
      <c r="A210" t="s">
        <v>50</v>
      </c>
      <c r="B210" t="s">
        <v>51</v>
      </c>
      <c r="C210" t="s">
        <v>52</v>
      </c>
      <c r="D210" t="s">
        <v>53</v>
      </c>
      <c r="E210" t="s">
        <v>54</v>
      </c>
      <c r="F210" t="s">
        <v>55</v>
      </c>
      <c r="G210" t="s">
        <v>42</v>
      </c>
    </row>
    <row r="211" spans="1:7">
      <c r="A211" t="s">
        <v>35</v>
      </c>
      <c r="B211" t="s">
        <v>35</v>
      </c>
      <c r="C211" t="s">
        <v>35</v>
      </c>
      <c r="D211" t="s">
        <v>35</v>
      </c>
      <c r="E211" t="s">
        <v>35</v>
      </c>
      <c r="F211" t="s">
        <v>35</v>
      </c>
      <c r="G211" t="s">
        <v>35</v>
      </c>
    </row>
    <row r="212" spans="1:7">
      <c r="A212" t="s">
        <v>74</v>
      </c>
      <c r="B212" t="s">
        <v>75</v>
      </c>
      <c r="C212" t="s">
        <v>125</v>
      </c>
      <c r="D212" t="s">
        <v>126</v>
      </c>
      <c r="E212" t="s">
        <v>127</v>
      </c>
      <c r="F212" t="s">
        <v>128</v>
      </c>
      <c r="G212" t="s">
        <v>49</v>
      </c>
    </row>
    <row r="213" spans="1:7">
      <c r="A213" t="s">
        <v>35</v>
      </c>
      <c r="B213" t="s">
        <v>35</v>
      </c>
      <c r="C213" t="s">
        <v>35</v>
      </c>
      <c r="D213" t="s">
        <v>35</v>
      </c>
      <c r="E213" t="s">
        <v>35</v>
      </c>
      <c r="F213" t="s">
        <v>35</v>
      </c>
      <c r="G213" t="s">
        <v>35</v>
      </c>
    </row>
    <row r="214" spans="1:7">
      <c r="A214" t="s">
        <v>111</v>
      </c>
      <c r="B214" t="s">
        <v>112</v>
      </c>
      <c r="C214" t="s">
        <v>113</v>
      </c>
      <c r="D214" t="s">
        <v>114</v>
      </c>
      <c r="E214" t="s">
        <v>115</v>
      </c>
      <c r="F214" t="s">
        <v>116</v>
      </c>
      <c r="G214" t="s">
        <v>42</v>
      </c>
    </row>
    <row r="215" spans="1:7">
      <c r="A215" t="s">
        <v>35</v>
      </c>
      <c r="B215" t="s">
        <v>35</v>
      </c>
      <c r="C215" t="s">
        <v>35</v>
      </c>
      <c r="D215" t="s">
        <v>35</v>
      </c>
      <c r="E215" t="s">
        <v>35</v>
      </c>
      <c r="F215" t="s">
        <v>35</v>
      </c>
      <c r="G215" t="s">
        <v>35</v>
      </c>
    </row>
    <row r="216" spans="1:7">
      <c r="A216" t="s">
        <v>101</v>
      </c>
      <c r="B216" t="s">
        <v>102</v>
      </c>
      <c r="C216" t="s">
        <v>103</v>
      </c>
      <c r="D216" t="s">
        <v>104</v>
      </c>
      <c r="E216" t="s">
        <v>105</v>
      </c>
      <c r="F216" t="s">
        <v>106</v>
      </c>
      <c r="G216" t="s">
        <v>42</v>
      </c>
    </row>
    <row r="217" spans="1:7">
      <c r="A217" t="s">
        <v>35</v>
      </c>
      <c r="B217" t="s">
        <v>35</v>
      </c>
      <c r="C217" t="s">
        <v>35</v>
      </c>
      <c r="D217" t="s">
        <v>35</v>
      </c>
      <c r="E217" t="s">
        <v>35</v>
      </c>
      <c r="F217" t="s">
        <v>35</v>
      </c>
      <c r="G217" t="s">
        <v>35</v>
      </c>
    </row>
    <row r="218" spans="1:7">
      <c r="A218" t="s">
        <v>96</v>
      </c>
      <c r="B218" t="s">
        <v>97</v>
      </c>
      <c r="C218" t="s">
        <v>58</v>
      </c>
      <c r="D218" t="s">
        <v>98</v>
      </c>
      <c r="E218" t="s">
        <v>99</v>
      </c>
      <c r="F218" t="s">
        <v>100</v>
      </c>
      <c r="G218" t="s">
        <v>42</v>
      </c>
    </row>
    <row r="219" spans="1:7">
      <c r="A219" t="s">
        <v>35</v>
      </c>
      <c r="B219" t="s">
        <v>35</v>
      </c>
      <c r="C219" t="s">
        <v>35</v>
      </c>
      <c r="D219" t="s">
        <v>35</v>
      </c>
      <c r="E219" t="s">
        <v>35</v>
      </c>
      <c r="F219" t="s">
        <v>35</v>
      </c>
      <c r="G219" t="s">
        <v>35</v>
      </c>
    </row>
    <row r="220" spans="1:7">
      <c r="A220" t="s">
        <v>90</v>
      </c>
      <c r="B220" t="s">
        <v>91</v>
      </c>
      <c r="C220" t="s">
        <v>121</v>
      </c>
      <c r="D220" t="s">
        <v>122</v>
      </c>
      <c r="E220" t="s">
        <v>123</v>
      </c>
      <c r="F220" t="s">
        <v>124</v>
      </c>
      <c r="G220" t="s">
        <v>42</v>
      </c>
    </row>
    <row r="221" spans="1:7">
      <c r="A221" t="s">
        <v>35</v>
      </c>
      <c r="B221" t="s">
        <v>35</v>
      </c>
      <c r="C221" t="s">
        <v>35</v>
      </c>
      <c r="D221" t="s">
        <v>35</v>
      </c>
      <c r="E221" t="s">
        <v>35</v>
      </c>
      <c r="F221" t="s">
        <v>35</v>
      </c>
      <c r="G221" t="s">
        <v>35</v>
      </c>
    </row>
    <row r="222" spans="1:7">
      <c r="A222" t="s">
        <v>90</v>
      </c>
      <c r="B222" t="s">
        <v>91</v>
      </c>
      <c r="C222" t="s">
        <v>92</v>
      </c>
      <c r="D222" t="s">
        <v>93</v>
      </c>
      <c r="E222" t="s">
        <v>94</v>
      </c>
      <c r="F222" t="s">
        <v>95</v>
      </c>
      <c r="G222" t="s">
        <v>42</v>
      </c>
    </row>
    <row r="223" spans="1:7">
      <c r="A223" t="s">
        <v>35</v>
      </c>
      <c r="B223" t="s">
        <v>35</v>
      </c>
      <c r="C223" t="s">
        <v>35</v>
      </c>
      <c r="D223" t="s">
        <v>35</v>
      </c>
      <c r="E223" t="s">
        <v>35</v>
      </c>
      <c r="F223" t="s">
        <v>35</v>
      </c>
      <c r="G223" t="s">
        <v>35</v>
      </c>
    </row>
    <row r="224" spans="1:7">
      <c r="A224" t="s">
        <v>50</v>
      </c>
      <c r="B224" t="s">
        <v>51</v>
      </c>
      <c r="C224" t="s">
        <v>52</v>
      </c>
      <c r="D224" t="s">
        <v>53</v>
      </c>
      <c r="E224" t="s">
        <v>54</v>
      </c>
      <c r="F224" t="s">
        <v>55</v>
      </c>
      <c r="G224" t="s">
        <v>42</v>
      </c>
    </row>
    <row r="225" spans="1:7">
      <c r="A225" t="s">
        <v>35</v>
      </c>
      <c r="B225" t="s">
        <v>35</v>
      </c>
      <c r="C225" t="s">
        <v>35</v>
      </c>
      <c r="D225" t="s">
        <v>35</v>
      </c>
      <c r="E225" t="s">
        <v>35</v>
      </c>
      <c r="F225" t="s">
        <v>35</v>
      </c>
      <c r="G225" t="s">
        <v>35</v>
      </c>
    </row>
    <row r="226" spans="1:7">
      <c r="A226" t="s">
        <v>90</v>
      </c>
      <c r="B226" t="s">
        <v>91</v>
      </c>
      <c r="C226" t="s">
        <v>92</v>
      </c>
      <c r="D226" t="s">
        <v>93</v>
      </c>
      <c r="E226" t="s">
        <v>94</v>
      </c>
      <c r="F226" t="s">
        <v>95</v>
      </c>
      <c r="G226" t="s">
        <v>42</v>
      </c>
    </row>
    <row r="227" spans="1:7">
      <c r="A227" t="s">
        <v>35</v>
      </c>
      <c r="B227" t="s">
        <v>35</v>
      </c>
      <c r="C227" t="s">
        <v>35</v>
      </c>
      <c r="D227" t="s">
        <v>35</v>
      </c>
      <c r="E227" t="s">
        <v>35</v>
      </c>
      <c r="F227" t="s">
        <v>35</v>
      </c>
      <c r="G227" t="s">
        <v>35</v>
      </c>
    </row>
    <row r="228" spans="1:7">
      <c r="A228" t="s">
        <v>129</v>
      </c>
      <c r="B228" t="s">
        <v>130</v>
      </c>
      <c r="C228" t="s">
        <v>125</v>
      </c>
      <c r="D228" t="s">
        <v>131</v>
      </c>
      <c r="E228" t="s">
        <v>132</v>
      </c>
      <c r="F228" t="s">
        <v>133</v>
      </c>
      <c r="G228" t="s">
        <v>49</v>
      </c>
    </row>
    <row r="229" spans="1:7">
      <c r="A229" t="s">
        <v>35</v>
      </c>
      <c r="B229" t="s">
        <v>35</v>
      </c>
      <c r="C229" t="s">
        <v>35</v>
      </c>
      <c r="D229" t="s">
        <v>35</v>
      </c>
      <c r="E229" t="s">
        <v>35</v>
      </c>
      <c r="F229" t="s">
        <v>35</v>
      </c>
      <c r="G229" t="s">
        <v>35</v>
      </c>
    </row>
    <row r="230" spans="1:7">
      <c r="A230" t="s">
        <v>56</v>
      </c>
      <c r="B230" t="s">
        <v>57</v>
      </c>
      <c r="C230" t="s">
        <v>58</v>
      </c>
      <c r="D230" t="s">
        <v>59</v>
      </c>
      <c r="E230" t="s">
        <v>60</v>
      </c>
      <c r="F230" t="s">
        <v>61</v>
      </c>
      <c r="G230" t="s">
        <v>49</v>
      </c>
    </row>
    <row r="231" spans="1:7">
      <c r="A231" t="s">
        <v>35</v>
      </c>
      <c r="B231" t="s">
        <v>35</v>
      </c>
      <c r="C231" t="s">
        <v>35</v>
      </c>
      <c r="D231" t="s">
        <v>35</v>
      </c>
      <c r="E231" t="s">
        <v>35</v>
      </c>
      <c r="F231" t="s">
        <v>35</v>
      </c>
      <c r="G231" t="s">
        <v>35</v>
      </c>
    </row>
    <row r="232" spans="1:7">
      <c r="A232" t="s">
        <v>111</v>
      </c>
      <c r="B232" t="s">
        <v>112</v>
      </c>
      <c r="C232" t="s">
        <v>113</v>
      </c>
      <c r="D232" t="s">
        <v>114</v>
      </c>
      <c r="E232" t="s">
        <v>115</v>
      </c>
      <c r="F232" t="s">
        <v>116</v>
      </c>
      <c r="G232" t="s">
        <v>42</v>
      </c>
    </row>
    <row r="233" spans="1:7">
      <c r="A233" t="s">
        <v>35</v>
      </c>
      <c r="B233" t="s">
        <v>35</v>
      </c>
      <c r="C233" t="s">
        <v>35</v>
      </c>
      <c r="D233" t="s">
        <v>35</v>
      </c>
      <c r="E233" t="s">
        <v>35</v>
      </c>
      <c r="F233" t="s">
        <v>35</v>
      </c>
      <c r="G233" t="s">
        <v>35</v>
      </c>
    </row>
    <row r="234" spans="1:7">
      <c r="A234" t="s">
        <v>129</v>
      </c>
      <c r="B234" t="s">
        <v>130</v>
      </c>
      <c r="C234" t="s">
        <v>125</v>
      </c>
      <c r="D234" t="s">
        <v>131</v>
      </c>
      <c r="E234" t="s">
        <v>132</v>
      </c>
      <c r="F234" t="s">
        <v>133</v>
      </c>
      <c r="G234" t="s">
        <v>49</v>
      </c>
    </row>
    <row r="235" spans="1:7">
      <c r="A235" t="s">
        <v>35</v>
      </c>
      <c r="B235" t="s">
        <v>35</v>
      </c>
      <c r="C235" t="s">
        <v>35</v>
      </c>
      <c r="D235" t="s">
        <v>35</v>
      </c>
      <c r="E235" t="s">
        <v>35</v>
      </c>
      <c r="F235" t="s">
        <v>35</v>
      </c>
      <c r="G235" t="s">
        <v>35</v>
      </c>
    </row>
    <row r="236" spans="1:7">
      <c r="A236" t="s">
        <v>36</v>
      </c>
      <c r="B236" t="s">
        <v>37</v>
      </c>
      <c r="C236" t="s">
        <v>38</v>
      </c>
      <c r="D236" t="s">
        <v>39</v>
      </c>
      <c r="E236" t="s">
        <v>40</v>
      </c>
      <c r="F236" t="s">
        <v>41</v>
      </c>
      <c r="G236" t="s">
        <v>42</v>
      </c>
    </row>
    <row r="237" spans="1:7">
      <c r="A237" t="s">
        <v>35</v>
      </c>
      <c r="B237" t="s">
        <v>35</v>
      </c>
      <c r="C237" t="s">
        <v>35</v>
      </c>
      <c r="D237" t="s">
        <v>35</v>
      </c>
      <c r="E237" t="s">
        <v>35</v>
      </c>
      <c r="F237" t="s">
        <v>35</v>
      </c>
      <c r="G237" t="s">
        <v>35</v>
      </c>
    </row>
    <row r="238" spans="1:7">
      <c r="A238" t="s">
        <v>80</v>
      </c>
      <c r="B238" t="s">
        <v>81</v>
      </c>
      <c r="C238" t="s">
        <v>82</v>
      </c>
      <c r="D238" t="s">
        <v>83</v>
      </c>
      <c r="E238" t="s">
        <v>84</v>
      </c>
      <c r="F238" t="s">
        <v>85</v>
      </c>
      <c r="G238" t="s">
        <v>42</v>
      </c>
    </row>
    <row r="239" spans="1:7">
      <c r="A239" t="s">
        <v>35</v>
      </c>
      <c r="B239" t="s">
        <v>35</v>
      </c>
      <c r="C239" t="s">
        <v>35</v>
      </c>
      <c r="D239" t="s">
        <v>35</v>
      </c>
      <c r="E239" t="s">
        <v>35</v>
      </c>
      <c r="F239" t="s">
        <v>35</v>
      </c>
      <c r="G239" t="s">
        <v>35</v>
      </c>
    </row>
    <row r="240" spans="1:7">
      <c r="A240" t="s">
        <v>56</v>
      </c>
      <c r="B240" t="s">
        <v>57</v>
      </c>
      <c r="C240" t="s">
        <v>107</v>
      </c>
      <c r="D240" t="s">
        <v>108</v>
      </c>
      <c r="E240" t="s">
        <v>109</v>
      </c>
      <c r="F240" t="s">
        <v>110</v>
      </c>
      <c r="G240" t="s">
        <v>42</v>
      </c>
    </row>
    <row r="241" spans="1:7">
      <c r="A241" t="s">
        <v>35</v>
      </c>
      <c r="B241" t="s">
        <v>35</v>
      </c>
      <c r="C241" t="s">
        <v>35</v>
      </c>
      <c r="D241" t="s">
        <v>35</v>
      </c>
      <c r="E241" t="s">
        <v>35</v>
      </c>
      <c r="F241" t="s">
        <v>35</v>
      </c>
      <c r="G241" t="s">
        <v>35</v>
      </c>
    </row>
    <row r="242" spans="1:7">
      <c r="A242" t="s">
        <v>68</v>
      </c>
      <c r="B242" t="s">
        <v>69</v>
      </c>
      <c r="C242" t="s">
        <v>70</v>
      </c>
      <c r="D242" t="s">
        <v>71</v>
      </c>
      <c r="E242" t="s">
        <v>72</v>
      </c>
      <c r="F242" t="s">
        <v>73</v>
      </c>
      <c r="G242" t="s">
        <v>42</v>
      </c>
    </row>
    <row r="243" spans="1:7">
      <c r="A243" t="s">
        <v>35</v>
      </c>
      <c r="B243" t="s">
        <v>35</v>
      </c>
      <c r="C243" t="s">
        <v>35</v>
      </c>
      <c r="D243" t="s">
        <v>35</v>
      </c>
      <c r="E243" t="s">
        <v>35</v>
      </c>
      <c r="F243" t="s">
        <v>35</v>
      </c>
      <c r="G243" t="s">
        <v>35</v>
      </c>
    </row>
    <row r="244" spans="1:7">
      <c r="A244" t="s">
        <v>43</v>
      </c>
      <c r="B244" t="s">
        <v>44</v>
      </c>
      <c r="C244" t="s">
        <v>45</v>
      </c>
      <c r="D244" t="s">
        <v>46</v>
      </c>
      <c r="E244" t="s">
        <v>47</v>
      </c>
      <c r="F244" t="s">
        <v>48</v>
      </c>
      <c r="G244" t="s">
        <v>49</v>
      </c>
    </row>
    <row r="245" spans="1:7">
      <c r="A245" t="s">
        <v>35</v>
      </c>
      <c r="B245" t="s">
        <v>35</v>
      </c>
      <c r="C245" t="s">
        <v>35</v>
      </c>
      <c r="D245" t="s">
        <v>35</v>
      </c>
      <c r="E245" t="s">
        <v>35</v>
      </c>
      <c r="F245" t="s">
        <v>35</v>
      </c>
      <c r="G245" t="s">
        <v>35</v>
      </c>
    </row>
    <row r="246" spans="1:7">
      <c r="A246" t="s">
        <v>96</v>
      </c>
      <c r="B246" t="s">
        <v>97</v>
      </c>
      <c r="C246" t="s">
        <v>58</v>
      </c>
      <c r="D246" t="s">
        <v>98</v>
      </c>
      <c r="E246" t="s">
        <v>99</v>
      </c>
      <c r="F246" t="s">
        <v>100</v>
      </c>
      <c r="G246" t="s">
        <v>42</v>
      </c>
    </row>
    <row r="247" spans="1:7">
      <c r="A247" t="s">
        <v>35</v>
      </c>
      <c r="B247" t="s">
        <v>35</v>
      </c>
      <c r="C247" t="s">
        <v>35</v>
      </c>
      <c r="D247" t="s">
        <v>35</v>
      </c>
      <c r="E247" t="s">
        <v>35</v>
      </c>
      <c r="F247" t="s">
        <v>35</v>
      </c>
      <c r="G247" t="s">
        <v>35</v>
      </c>
    </row>
    <row r="248" spans="1:7">
      <c r="A248" t="s">
        <v>36</v>
      </c>
      <c r="B248" t="s">
        <v>37</v>
      </c>
      <c r="C248" t="s">
        <v>117</v>
      </c>
      <c r="D248" t="s">
        <v>118</v>
      </c>
      <c r="E248" t="s">
        <v>119</v>
      </c>
      <c r="F248" t="s">
        <v>120</v>
      </c>
      <c r="G248" t="s">
        <v>49</v>
      </c>
    </row>
    <row r="249" spans="1:7">
      <c r="A249" t="s">
        <v>35</v>
      </c>
      <c r="B249" t="s">
        <v>35</v>
      </c>
      <c r="C249" t="s">
        <v>35</v>
      </c>
      <c r="D249" t="s">
        <v>35</v>
      </c>
      <c r="E249" t="s">
        <v>35</v>
      </c>
      <c r="F249" t="s">
        <v>35</v>
      </c>
      <c r="G249" t="s">
        <v>35</v>
      </c>
    </row>
    <row r="250" spans="1:7">
      <c r="A250" t="s">
        <v>129</v>
      </c>
      <c r="B250" t="s">
        <v>130</v>
      </c>
      <c r="C250" t="s">
        <v>125</v>
      </c>
      <c r="D250" t="s">
        <v>131</v>
      </c>
      <c r="E250" t="s">
        <v>132</v>
      </c>
      <c r="F250" t="s">
        <v>133</v>
      </c>
      <c r="G250" t="s">
        <v>49</v>
      </c>
    </row>
    <row r="251" spans="1:7">
      <c r="A251" t="s">
        <v>35</v>
      </c>
      <c r="B251" t="s">
        <v>35</v>
      </c>
      <c r="C251" t="s">
        <v>35</v>
      </c>
      <c r="D251" t="s">
        <v>35</v>
      </c>
      <c r="E251" t="s">
        <v>35</v>
      </c>
      <c r="F251" t="s">
        <v>35</v>
      </c>
      <c r="G251" t="s">
        <v>35</v>
      </c>
    </row>
    <row r="252" spans="1:7">
      <c r="A252" t="s">
        <v>62</v>
      </c>
      <c r="B252" t="s">
        <v>63</v>
      </c>
      <c r="C252" t="s">
        <v>64</v>
      </c>
      <c r="D252" t="s">
        <v>65</v>
      </c>
      <c r="E252" t="s">
        <v>66</v>
      </c>
      <c r="F252" t="s">
        <v>67</v>
      </c>
      <c r="G252" t="s">
        <v>49</v>
      </c>
    </row>
    <row r="253" spans="1:7">
      <c r="A253" t="s">
        <v>35</v>
      </c>
      <c r="B253" t="s">
        <v>35</v>
      </c>
      <c r="C253" t="s">
        <v>35</v>
      </c>
      <c r="D253" t="s">
        <v>35</v>
      </c>
      <c r="E253" t="s">
        <v>35</v>
      </c>
      <c r="F253" t="s">
        <v>35</v>
      </c>
      <c r="G253" t="s">
        <v>35</v>
      </c>
    </row>
    <row r="254" spans="1:7">
      <c r="A254" t="s">
        <v>80</v>
      </c>
      <c r="B254" t="s">
        <v>81</v>
      </c>
      <c r="C254" t="s">
        <v>82</v>
      </c>
      <c r="D254" t="s">
        <v>83</v>
      </c>
      <c r="E254" t="s">
        <v>84</v>
      </c>
      <c r="F254" t="s">
        <v>85</v>
      </c>
      <c r="G254" t="s">
        <v>42</v>
      </c>
    </row>
    <row r="255" spans="1:7">
      <c r="A255" t="s">
        <v>35</v>
      </c>
      <c r="B255" t="s">
        <v>35</v>
      </c>
      <c r="C255" t="s">
        <v>35</v>
      </c>
      <c r="D255" t="s">
        <v>35</v>
      </c>
      <c r="E255" t="s">
        <v>35</v>
      </c>
      <c r="F255" t="s">
        <v>35</v>
      </c>
      <c r="G255" t="s">
        <v>35</v>
      </c>
    </row>
    <row r="256" spans="1:7">
      <c r="A256" t="s">
        <v>56</v>
      </c>
      <c r="B256" t="s">
        <v>57</v>
      </c>
      <c r="C256" t="s">
        <v>58</v>
      </c>
      <c r="D256" t="s">
        <v>59</v>
      </c>
      <c r="E256" t="s">
        <v>60</v>
      </c>
      <c r="F256" t="s">
        <v>61</v>
      </c>
      <c r="G256" t="s">
        <v>49</v>
      </c>
    </row>
    <row r="257" spans="1:7">
      <c r="A257" t="s">
        <v>35</v>
      </c>
      <c r="B257" t="s">
        <v>35</v>
      </c>
      <c r="C257" t="s">
        <v>35</v>
      </c>
      <c r="D257" t="s">
        <v>35</v>
      </c>
      <c r="E257" t="s">
        <v>35</v>
      </c>
      <c r="F257" t="s">
        <v>35</v>
      </c>
      <c r="G257" t="s">
        <v>35</v>
      </c>
    </row>
    <row r="258" spans="1:7">
      <c r="A258" t="s">
        <v>62</v>
      </c>
      <c r="B258" t="s">
        <v>63</v>
      </c>
      <c r="C258" t="s">
        <v>64</v>
      </c>
      <c r="D258" t="s">
        <v>65</v>
      </c>
      <c r="E258" t="s">
        <v>66</v>
      </c>
      <c r="F258" t="s">
        <v>67</v>
      </c>
      <c r="G258" t="s">
        <v>49</v>
      </c>
    </row>
    <row r="259" spans="1:7">
      <c r="A259" t="s">
        <v>35</v>
      </c>
      <c r="B259" t="s">
        <v>35</v>
      </c>
      <c r="C259" t="s">
        <v>35</v>
      </c>
      <c r="D259" t="s">
        <v>35</v>
      </c>
      <c r="E259" t="s">
        <v>35</v>
      </c>
      <c r="F259" t="s">
        <v>35</v>
      </c>
      <c r="G259" t="s">
        <v>35</v>
      </c>
    </row>
    <row r="260" spans="1:7">
      <c r="A260" t="s">
        <v>96</v>
      </c>
      <c r="B260" t="s">
        <v>97</v>
      </c>
      <c r="C260" t="s">
        <v>58</v>
      </c>
      <c r="D260" t="s">
        <v>98</v>
      </c>
      <c r="E260" t="s">
        <v>99</v>
      </c>
      <c r="F260" t="s">
        <v>100</v>
      </c>
      <c r="G260" t="s">
        <v>42</v>
      </c>
    </row>
    <row r="261" spans="1:7">
      <c r="A261" t="s">
        <v>35</v>
      </c>
      <c r="B261" t="s">
        <v>35</v>
      </c>
      <c r="C261" t="s">
        <v>35</v>
      </c>
      <c r="D261" t="s">
        <v>35</v>
      </c>
      <c r="E261" t="s">
        <v>35</v>
      </c>
      <c r="F261" t="s">
        <v>35</v>
      </c>
      <c r="G261" t="s">
        <v>35</v>
      </c>
    </row>
    <row r="262" spans="1:7">
      <c r="A262" t="s">
        <v>80</v>
      </c>
      <c r="B262" t="s">
        <v>81</v>
      </c>
      <c r="C262" t="s">
        <v>86</v>
      </c>
      <c r="D262" t="s">
        <v>87</v>
      </c>
      <c r="E262" t="s">
        <v>88</v>
      </c>
      <c r="F262" t="s">
        <v>89</v>
      </c>
      <c r="G262" t="s">
        <v>42</v>
      </c>
    </row>
    <row r="263" spans="1:7">
      <c r="A263" t="s">
        <v>35</v>
      </c>
      <c r="B263" t="s">
        <v>35</v>
      </c>
      <c r="C263" t="s">
        <v>35</v>
      </c>
      <c r="D263" t="s">
        <v>35</v>
      </c>
      <c r="E263" t="s">
        <v>35</v>
      </c>
      <c r="F263" t="s">
        <v>35</v>
      </c>
      <c r="G263" t="s">
        <v>35</v>
      </c>
    </row>
    <row r="264" spans="1:7">
      <c r="A264" t="s">
        <v>111</v>
      </c>
      <c r="B264" t="s">
        <v>112</v>
      </c>
      <c r="C264" t="s">
        <v>113</v>
      </c>
      <c r="D264" t="s">
        <v>114</v>
      </c>
      <c r="E264" t="s">
        <v>115</v>
      </c>
      <c r="F264" t="s">
        <v>116</v>
      </c>
      <c r="G264" t="s">
        <v>42</v>
      </c>
    </row>
    <row r="265" spans="1:7">
      <c r="A265" t="s">
        <v>35</v>
      </c>
      <c r="B265" t="s">
        <v>35</v>
      </c>
      <c r="C265" t="s">
        <v>35</v>
      </c>
      <c r="D265" t="s">
        <v>35</v>
      </c>
      <c r="E265" t="s">
        <v>35</v>
      </c>
      <c r="F265" t="s">
        <v>35</v>
      </c>
      <c r="G265" t="s">
        <v>35</v>
      </c>
    </row>
    <row r="266" spans="1:7">
      <c r="A266" t="s">
        <v>111</v>
      </c>
      <c r="B266" t="s">
        <v>112</v>
      </c>
      <c r="C266" t="s">
        <v>113</v>
      </c>
      <c r="D266" t="s">
        <v>114</v>
      </c>
      <c r="E266" t="s">
        <v>115</v>
      </c>
      <c r="F266" t="s">
        <v>116</v>
      </c>
      <c r="G266" t="s">
        <v>42</v>
      </c>
    </row>
    <row r="267" spans="1:7">
      <c r="A267" t="s">
        <v>35</v>
      </c>
      <c r="B267" t="s">
        <v>35</v>
      </c>
      <c r="C267" t="s">
        <v>35</v>
      </c>
      <c r="D267" t="s">
        <v>35</v>
      </c>
      <c r="E267" t="s">
        <v>35</v>
      </c>
      <c r="F267" t="s">
        <v>35</v>
      </c>
      <c r="G267" t="s">
        <v>35</v>
      </c>
    </row>
    <row r="268" spans="1:7">
      <c r="A268" t="s">
        <v>90</v>
      </c>
      <c r="B268" t="s">
        <v>91</v>
      </c>
      <c r="C268" t="s">
        <v>121</v>
      </c>
      <c r="D268" t="s">
        <v>122</v>
      </c>
      <c r="E268" t="s">
        <v>123</v>
      </c>
      <c r="F268" t="s">
        <v>124</v>
      </c>
      <c r="G268" t="s">
        <v>42</v>
      </c>
    </row>
    <row r="269" spans="1:7">
      <c r="A269" t="s">
        <v>35</v>
      </c>
      <c r="B269" t="s">
        <v>35</v>
      </c>
      <c r="C269" t="s">
        <v>35</v>
      </c>
      <c r="D269" t="s">
        <v>35</v>
      </c>
      <c r="E269" t="s">
        <v>35</v>
      </c>
      <c r="F269" t="s">
        <v>35</v>
      </c>
      <c r="G269" t="s">
        <v>35</v>
      </c>
    </row>
    <row r="270" spans="1:7">
      <c r="A270" t="s">
        <v>36</v>
      </c>
      <c r="B270" t="s">
        <v>37</v>
      </c>
      <c r="C270" t="s">
        <v>117</v>
      </c>
      <c r="D270" t="s">
        <v>118</v>
      </c>
      <c r="E270" t="s">
        <v>119</v>
      </c>
      <c r="F270" t="s">
        <v>120</v>
      </c>
      <c r="G270" t="s">
        <v>49</v>
      </c>
    </row>
    <row r="271" spans="1:7">
      <c r="A271" t="s">
        <v>35</v>
      </c>
      <c r="B271" t="s">
        <v>35</v>
      </c>
      <c r="C271" t="s">
        <v>35</v>
      </c>
      <c r="D271" t="s">
        <v>35</v>
      </c>
      <c r="E271" t="s">
        <v>35</v>
      </c>
      <c r="F271" t="s">
        <v>35</v>
      </c>
      <c r="G271" t="s">
        <v>35</v>
      </c>
    </row>
    <row r="272" spans="1:7">
      <c r="A272" t="s">
        <v>56</v>
      </c>
      <c r="B272" t="s">
        <v>57</v>
      </c>
      <c r="C272" t="s">
        <v>58</v>
      </c>
      <c r="D272" t="s">
        <v>59</v>
      </c>
      <c r="E272" t="s">
        <v>60</v>
      </c>
      <c r="F272" t="s">
        <v>61</v>
      </c>
      <c r="G272" t="s">
        <v>49</v>
      </c>
    </row>
    <row r="273" spans="1:7">
      <c r="A273" t="s">
        <v>35</v>
      </c>
      <c r="B273" t="s">
        <v>35</v>
      </c>
      <c r="C273" t="s">
        <v>35</v>
      </c>
      <c r="D273" t="s">
        <v>35</v>
      </c>
      <c r="E273" t="s">
        <v>35</v>
      </c>
      <c r="F273" t="s">
        <v>35</v>
      </c>
      <c r="G273" t="s">
        <v>35</v>
      </c>
    </row>
    <row r="274" spans="1:7">
      <c r="A274" t="s">
        <v>96</v>
      </c>
      <c r="B274" t="s">
        <v>97</v>
      </c>
      <c r="C274" t="s">
        <v>58</v>
      </c>
      <c r="D274" t="s">
        <v>98</v>
      </c>
      <c r="E274" t="s">
        <v>99</v>
      </c>
      <c r="F274" t="s">
        <v>100</v>
      </c>
      <c r="G274" t="s">
        <v>42</v>
      </c>
    </row>
    <row r="275" spans="1:7">
      <c r="A275" t="s">
        <v>35</v>
      </c>
      <c r="B275" t="s">
        <v>35</v>
      </c>
      <c r="C275" t="s">
        <v>35</v>
      </c>
      <c r="D275" t="s">
        <v>35</v>
      </c>
      <c r="E275" t="s">
        <v>35</v>
      </c>
      <c r="F275" t="s">
        <v>35</v>
      </c>
      <c r="G275" t="s">
        <v>35</v>
      </c>
    </row>
    <row r="276" spans="1:7">
      <c r="A276" t="s">
        <v>101</v>
      </c>
      <c r="B276" t="s">
        <v>102</v>
      </c>
      <c r="C276" t="s">
        <v>103</v>
      </c>
      <c r="D276" t="s">
        <v>104</v>
      </c>
      <c r="E276" t="s">
        <v>105</v>
      </c>
      <c r="F276" t="s">
        <v>106</v>
      </c>
      <c r="G276" t="s">
        <v>42</v>
      </c>
    </row>
    <row r="277" spans="1:7">
      <c r="A277" t="s">
        <v>35</v>
      </c>
      <c r="B277" t="s">
        <v>35</v>
      </c>
      <c r="C277" t="s">
        <v>35</v>
      </c>
      <c r="D277" t="s">
        <v>35</v>
      </c>
      <c r="E277" t="s">
        <v>35</v>
      </c>
      <c r="F277" t="s">
        <v>35</v>
      </c>
      <c r="G277" t="s">
        <v>35</v>
      </c>
    </row>
    <row r="278" spans="1:7">
      <c r="A278" t="s">
        <v>96</v>
      </c>
      <c r="B278" t="s">
        <v>97</v>
      </c>
      <c r="C278" t="s">
        <v>58</v>
      </c>
      <c r="D278" t="s">
        <v>98</v>
      </c>
      <c r="E278" t="s">
        <v>99</v>
      </c>
      <c r="F278" t="s">
        <v>100</v>
      </c>
      <c r="G278" t="s">
        <v>42</v>
      </c>
    </row>
    <row r="279" spans="1:7">
      <c r="A279" t="s">
        <v>35</v>
      </c>
      <c r="B279" t="s">
        <v>35</v>
      </c>
      <c r="C279" t="s">
        <v>35</v>
      </c>
      <c r="D279" t="s">
        <v>35</v>
      </c>
      <c r="E279" t="s">
        <v>35</v>
      </c>
      <c r="F279" t="s">
        <v>35</v>
      </c>
      <c r="G279" t="s">
        <v>35</v>
      </c>
    </row>
    <row r="280" spans="1:7">
      <c r="A280" t="s">
        <v>56</v>
      </c>
      <c r="B280" t="s">
        <v>57</v>
      </c>
      <c r="C280" t="s">
        <v>107</v>
      </c>
      <c r="D280" t="s">
        <v>108</v>
      </c>
      <c r="E280" t="s">
        <v>109</v>
      </c>
      <c r="F280" t="s">
        <v>110</v>
      </c>
      <c r="G280" t="s">
        <v>42</v>
      </c>
    </row>
    <row r="281" spans="1:7">
      <c r="A281" t="s">
        <v>35</v>
      </c>
      <c r="B281" t="s">
        <v>35</v>
      </c>
      <c r="C281" t="s">
        <v>35</v>
      </c>
      <c r="D281" t="s">
        <v>35</v>
      </c>
      <c r="E281" t="s">
        <v>35</v>
      </c>
      <c r="F281" t="s">
        <v>35</v>
      </c>
      <c r="G281" t="s">
        <v>35</v>
      </c>
    </row>
    <row r="282" spans="1:7">
      <c r="A282" t="s">
        <v>62</v>
      </c>
      <c r="B282" t="s">
        <v>63</v>
      </c>
      <c r="C282" t="s">
        <v>64</v>
      </c>
      <c r="D282" t="s">
        <v>65</v>
      </c>
      <c r="E282" t="s">
        <v>66</v>
      </c>
      <c r="F282" t="s">
        <v>67</v>
      </c>
      <c r="G282" t="s">
        <v>49</v>
      </c>
    </row>
    <row r="283" spans="1:7">
      <c r="A283" t="s">
        <v>35</v>
      </c>
      <c r="B283" t="s">
        <v>35</v>
      </c>
      <c r="C283" t="s">
        <v>35</v>
      </c>
      <c r="D283" t="s">
        <v>35</v>
      </c>
      <c r="E283" t="s">
        <v>35</v>
      </c>
      <c r="F283" t="s">
        <v>35</v>
      </c>
      <c r="G283" t="s">
        <v>35</v>
      </c>
    </row>
    <row r="284" spans="1:7">
      <c r="A284" t="s">
        <v>138</v>
      </c>
      <c r="B284" t="s">
        <v>139</v>
      </c>
      <c r="C284" t="s">
        <v>140</v>
      </c>
      <c r="D284" t="s">
        <v>141</v>
      </c>
      <c r="E284" t="s">
        <v>142</v>
      </c>
      <c r="F284" t="s">
        <v>143</v>
      </c>
      <c r="G284" t="s">
        <v>49</v>
      </c>
    </row>
    <row r="285" spans="1:7">
      <c r="A285" t="s">
        <v>35</v>
      </c>
      <c r="B285" t="s">
        <v>35</v>
      </c>
      <c r="C285" t="s">
        <v>35</v>
      </c>
      <c r="D285" t="s">
        <v>35</v>
      </c>
      <c r="E285" t="s">
        <v>35</v>
      </c>
      <c r="F285" t="s">
        <v>35</v>
      </c>
      <c r="G285" t="s">
        <v>35</v>
      </c>
    </row>
    <row r="286" spans="1:7">
      <c r="A286" t="s">
        <v>96</v>
      </c>
      <c r="B286" t="s">
        <v>97</v>
      </c>
      <c r="C286" t="s">
        <v>58</v>
      </c>
      <c r="D286" t="s">
        <v>98</v>
      </c>
      <c r="E286" t="s">
        <v>99</v>
      </c>
      <c r="F286" t="s">
        <v>100</v>
      </c>
      <c r="G286" t="s">
        <v>42</v>
      </c>
    </row>
    <row r="287" spans="1:7">
      <c r="A287" t="s">
        <v>35</v>
      </c>
      <c r="B287" t="s">
        <v>35</v>
      </c>
      <c r="C287" t="s">
        <v>35</v>
      </c>
      <c r="D287" t="s">
        <v>35</v>
      </c>
      <c r="E287" t="s">
        <v>35</v>
      </c>
      <c r="F287" t="s">
        <v>35</v>
      </c>
      <c r="G287" t="s">
        <v>35</v>
      </c>
    </row>
    <row r="288" spans="1:7">
      <c r="A288" t="s">
        <v>74</v>
      </c>
      <c r="B288" t="s">
        <v>75</v>
      </c>
      <c r="C288" t="s">
        <v>134</v>
      </c>
      <c r="D288" t="s">
        <v>135</v>
      </c>
      <c r="E288" t="s">
        <v>136</v>
      </c>
      <c r="F288" t="s">
        <v>137</v>
      </c>
      <c r="G288" t="s">
        <v>42</v>
      </c>
    </row>
    <row r="289" spans="1:7">
      <c r="A289" t="s">
        <v>35</v>
      </c>
      <c r="B289" t="s">
        <v>35</v>
      </c>
      <c r="C289" t="s">
        <v>35</v>
      </c>
      <c r="D289" t="s">
        <v>35</v>
      </c>
      <c r="E289" t="s">
        <v>35</v>
      </c>
      <c r="F289" t="s">
        <v>35</v>
      </c>
      <c r="G289" t="s">
        <v>35</v>
      </c>
    </row>
    <row r="290" spans="1:7">
      <c r="A290" t="s">
        <v>56</v>
      </c>
      <c r="B290" t="s">
        <v>57</v>
      </c>
      <c r="C290" t="s">
        <v>107</v>
      </c>
      <c r="D290" t="s">
        <v>108</v>
      </c>
      <c r="E290" t="s">
        <v>109</v>
      </c>
      <c r="F290" t="s">
        <v>110</v>
      </c>
      <c r="G290" t="s">
        <v>42</v>
      </c>
    </row>
    <row r="291" spans="1:7">
      <c r="A291" t="s">
        <v>35</v>
      </c>
      <c r="B291" t="s">
        <v>35</v>
      </c>
      <c r="C291" t="s">
        <v>35</v>
      </c>
      <c r="D291" t="s">
        <v>35</v>
      </c>
      <c r="E291" t="s">
        <v>35</v>
      </c>
      <c r="F291" t="s">
        <v>35</v>
      </c>
      <c r="G291" t="s">
        <v>35</v>
      </c>
    </row>
    <row r="292" spans="1:7">
      <c r="A292" t="s">
        <v>56</v>
      </c>
      <c r="B292" t="s">
        <v>57</v>
      </c>
      <c r="C292" t="s">
        <v>107</v>
      </c>
      <c r="D292" t="s">
        <v>108</v>
      </c>
      <c r="E292" t="s">
        <v>109</v>
      </c>
      <c r="F292" t="s">
        <v>110</v>
      </c>
      <c r="G292" t="s">
        <v>42</v>
      </c>
    </row>
    <row r="293" spans="1:7">
      <c r="A293" t="s">
        <v>35</v>
      </c>
      <c r="B293" t="s">
        <v>35</v>
      </c>
      <c r="C293" t="s">
        <v>35</v>
      </c>
      <c r="D293" t="s">
        <v>35</v>
      </c>
      <c r="E293" t="s">
        <v>35</v>
      </c>
      <c r="F293" t="s">
        <v>35</v>
      </c>
      <c r="G293" t="s">
        <v>35</v>
      </c>
    </row>
    <row r="294" spans="1:7">
      <c r="A294" t="s">
        <v>56</v>
      </c>
      <c r="B294" t="s">
        <v>57</v>
      </c>
      <c r="C294" t="s">
        <v>107</v>
      </c>
      <c r="D294" t="s">
        <v>108</v>
      </c>
      <c r="E294" t="s">
        <v>109</v>
      </c>
      <c r="F294" t="s">
        <v>110</v>
      </c>
      <c r="G294" t="s">
        <v>42</v>
      </c>
    </row>
    <row r="295" spans="1:7">
      <c r="A295" t="s">
        <v>35</v>
      </c>
      <c r="B295" t="s">
        <v>35</v>
      </c>
      <c r="C295" t="s">
        <v>35</v>
      </c>
      <c r="D295" t="s">
        <v>35</v>
      </c>
      <c r="E295" t="s">
        <v>35</v>
      </c>
      <c r="F295" t="s">
        <v>35</v>
      </c>
      <c r="G295" t="s">
        <v>35</v>
      </c>
    </row>
    <row r="296" spans="1:7">
      <c r="A296" t="s">
        <v>90</v>
      </c>
      <c r="B296" t="s">
        <v>91</v>
      </c>
      <c r="C296" t="s">
        <v>92</v>
      </c>
      <c r="D296" t="s">
        <v>93</v>
      </c>
      <c r="E296" t="s">
        <v>94</v>
      </c>
      <c r="F296" t="s">
        <v>95</v>
      </c>
      <c r="G296" t="s">
        <v>42</v>
      </c>
    </row>
    <row r="297" spans="1:7">
      <c r="A297" t="s">
        <v>35</v>
      </c>
      <c r="B297" t="s">
        <v>35</v>
      </c>
      <c r="C297" t="s">
        <v>35</v>
      </c>
      <c r="D297" t="s">
        <v>35</v>
      </c>
      <c r="E297" t="s">
        <v>35</v>
      </c>
      <c r="F297" t="s">
        <v>35</v>
      </c>
      <c r="G297" t="s">
        <v>35</v>
      </c>
    </row>
    <row r="298" spans="1:7">
      <c r="A298" t="s">
        <v>74</v>
      </c>
      <c r="B298" t="s">
        <v>75</v>
      </c>
      <c r="C298" t="s">
        <v>125</v>
      </c>
      <c r="D298" t="s">
        <v>126</v>
      </c>
      <c r="E298" t="s">
        <v>127</v>
      </c>
      <c r="F298" t="s">
        <v>128</v>
      </c>
      <c r="G298" t="s">
        <v>49</v>
      </c>
    </row>
    <row r="299" spans="1:7">
      <c r="A299" t="s">
        <v>35</v>
      </c>
      <c r="B299" t="s">
        <v>35</v>
      </c>
      <c r="C299" t="s">
        <v>35</v>
      </c>
      <c r="D299" t="s">
        <v>35</v>
      </c>
      <c r="E299" t="s">
        <v>35</v>
      </c>
      <c r="F299" t="s">
        <v>35</v>
      </c>
      <c r="G299" t="s">
        <v>35</v>
      </c>
    </row>
    <row r="300" spans="1:7">
      <c r="A300" t="s">
        <v>62</v>
      </c>
      <c r="B300" t="s">
        <v>63</v>
      </c>
      <c r="C300" t="s">
        <v>64</v>
      </c>
      <c r="D300" t="s">
        <v>65</v>
      </c>
      <c r="E300" t="s">
        <v>66</v>
      </c>
      <c r="F300" t="s">
        <v>67</v>
      </c>
      <c r="G300" t="s">
        <v>49</v>
      </c>
    </row>
    <row r="301" spans="1:7">
      <c r="A301" t="s">
        <v>35</v>
      </c>
      <c r="B301" t="s">
        <v>35</v>
      </c>
      <c r="C301" t="s">
        <v>35</v>
      </c>
      <c r="D301" t="s">
        <v>35</v>
      </c>
      <c r="E301" t="s">
        <v>35</v>
      </c>
      <c r="F301" t="s">
        <v>35</v>
      </c>
      <c r="G301" t="s">
        <v>35</v>
      </c>
    </row>
    <row r="302" spans="1:7">
      <c r="A302" t="s">
        <v>62</v>
      </c>
      <c r="B302" t="s">
        <v>63</v>
      </c>
      <c r="C302" t="s">
        <v>64</v>
      </c>
      <c r="D302" t="s">
        <v>65</v>
      </c>
      <c r="E302" t="s">
        <v>66</v>
      </c>
      <c r="F302" t="s">
        <v>67</v>
      </c>
      <c r="G302" t="s">
        <v>49</v>
      </c>
    </row>
    <row r="303" spans="1:7">
      <c r="A303" t="s">
        <v>35</v>
      </c>
      <c r="B303" t="s">
        <v>35</v>
      </c>
      <c r="C303" t="s">
        <v>35</v>
      </c>
      <c r="D303" t="s">
        <v>35</v>
      </c>
      <c r="E303" t="s">
        <v>35</v>
      </c>
      <c r="F303" t="s">
        <v>35</v>
      </c>
      <c r="G303" t="s">
        <v>35</v>
      </c>
    </row>
    <row r="304" spans="1:7">
      <c r="A304" t="s">
        <v>74</v>
      </c>
      <c r="B304" t="s">
        <v>75</v>
      </c>
      <c r="C304" t="s">
        <v>76</v>
      </c>
      <c r="D304" t="s">
        <v>77</v>
      </c>
      <c r="E304" t="s">
        <v>78</v>
      </c>
      <c r="F304" t="s">
        <v>79</v>
      </c>
      <c r="G304" t="s">
        <v>49</v>
      </c>
    </row>
    <row r="305" spans="1:7">
      <c r="A305" t="s">
        <v>35</v>
      </c>
      <c r="B305" t="s">
        <v>35</v>
      </c>
      <c r="C305" t="s">
        <v>35</v>
      </c>
      <c r="D305" t="s">
        <v>35</v>
      </c>
      <c r="E305" t="s">
        <v>35</v>
      </c>
      <c r="F305" t="s">
        <v>35</v>
      </c>
      <c r="G305" t="s">
        <v>35</v>
      </c>
    </row>
    <row r="306" spans="1:7">
      <c r="A306" t="s">
        <v>68</v>
      </c>
      <c r="B306" t="s">
        <v>69</v>
      </c>
      <c r="C306" t="s">
        <v>70</v>
      </c>
      <c r="D306" t="s">
        <v>71</v>
      </c>
      <c r="E306" t="s">
        <v>72</v>
      </c>
      <c r="F306" t="s">
        <v>73</v>
      </c>
      <c r="G306" t="s">
        <v>42</v>
      </c>
    </row>
    <row r="307" spans="1:7">
      <c r="A307" t="s">
        <v>35</v>
      </c>
      <c r="B307" t="s">
        <v>35</v>
      </c>
      <c r="C307" t="s">
        <v>35</v>
      </c>
      <c r="D307" t="s">
        <v>35</v>
      </c>
      <c r="E307" t="s">
        <v>35</v>
      </c>
      <c r="F307" t="s">
        <v>35</v>
      </c>
      <c r="G307" t="s">
        <v>35</v>
      </c>
    </row>
    <row r="308" spans="1:7">
      <c r="A308" t="s">
        <v>111</v>
      </c>
      <c r="B308" t="s">
        <v>112</v>
      </c>
      <c r="C308" t="s">
        <v>113</v>
      </c>
      <c r="D308" t="s">
        <v>114</v>
      </c>
      <c r="E308" t="s">
        <v>115</v>
      </c>
      <c r="F308" t="s">
        <v>116</v>
      </c>
      <c r="G308" t="s">
        <v>42</v>
      </c>
    </row>
    <row r="309" spans="1:7">
      <c r="A309" t="s">
        <v>35</v>
      </c>
      <c r="B309" t="s">
        <v>35</v>
      </c>
      <c r="C309" t="s">
        <v>35</v>
      </c>
      <c r="D309" t="s">
        <v>35</v>
      </c>
      <c r="E309" t="s">
        <v>35</v>
      </c>
      <c r="F309" t="s">
        <v>35</v>
      </c>
      <c r="G309" t="s">
        <v>35</v>
      </c>
    </row>
    <row r="310" spans="1:7">
      <c r="A310" t="s">
        <v>74</v>
      </c>
      <c r="B310" t="s">
        <v>75</v>
      </c>
      <c r="C310" t="s">
        <v>134</v>
      </c>
      <c r="D310" t="s">
        <v>135</v>
      </c>
      <c r="E310" t="s">
        <v>136</v>
      </c>
      <c r="F310" t="s">
        <v>137</v>
      </c>
      <c r="G310" t="s">
        <v>42</v>
      </c>
    </row>
    <row r="311" spans="1:7">
      <c r="A311" t="s">
        <v>35</v>
      </c>
      <c r="B311" t="s">
        <v>35</v>
      </c>
      <c r="C311" t="s">
        <v>35</v>
      </c>
      <c r="D311" t="s">
        <v>35</v>
      </c>
      <c r="E311" t="s">
        <v>35</v>
      </c>
      <c r="F311" t="s">
        <v>35</v>
      </c>
      <c r="G311" t="s">
        <v>35</v>
      </c>
    </row>
    <row r="312" spans="1:7">
      <c r="A312" t="s">
        <v>36</v>
      </c>
      <c r="B312" t="s">
        <v>37</v>
      </c>
      <c r="C312" t="s">
        <v>117</v>
      </c>
      <c r="D312" t="s">
        <v>118</v>
      </c>
      <c r="E312" t="s">
        <v>119</v>
      </c>
      <c r="F312" t="s">
        <v>120</v>
      </c>
      <c r="G312" t="s">
        <v>49</v>
      </c>
    </row>
    <row r="313" spans="1:7">
      <c r="A313" t="s">
        <v>35</v>
      </c>
      <c r="B313" t="s">
        <v>35</v>
      </c>
      <c r="C313" t="s">
        <v>35</v>
      </c>
      <c r="D313" t="s">
        <v>35</v>
      </c>
      <c r="E313" t="s">
        <v>35</v>
      </c>
      <c r="F313" t="s">
        <v>35</v>
      </c>
      <c r="G313" t="s">
        <v>35</v>
      </c>
    </row>
    <row r="314" spans="1:7">
      <c r="A314" t="s">
        <v>138</v>
      </c>
      <c r="B314" t="s">
        <v>139</v>
      </c>
      <c r="C314" t="s">
        <v>140</v>
      </c>
      <c r="D314" t="s">
        <v>141</v>
      </c>
      <c r="E314" t="s">
        <v>142</v>
      </c>
      <c r="F314" t="s">
        <v>143</v>
      </c>
      <c r="G314" t="s">
        <v>49</v>
      </c>
    </row>
    <row r="315" spans="1:7">
      <c r="A315" t="s">
        <v>35</v>
      </c>
      <c r="B315" t="s">
        <v>35</v>
      </c>
      <c r="C315" t="s">
        <v>35</v>
      </c>
      <c r="D315" t="s">
        <v>35</v>
      </c>
      <c r="E315" t="s">
        <v>35</v>
      </c>
      <c r="F315" t="s">
        <v>35</v>
      </c>
      <c r="G315" t="s">
        <v>35</v>
      </c>
    </row>
    <row r="316" spans="1:7">
      <c r="A316" t="s">
        <v>74</v>
      </c>
      <c r="B316" t="s">
        <v>75</v>
      </c>
      <c r="C316" t="s">
        <v>134</v>
      </c>
      <c r="D316" t="s">
        <v>135</v>
      </c>
      <c r="E316" t="s">
        <v>136</v>
      </c>
      <c r="F316" t="s">
        <v>137</v>
      </c>
      <c r="G316" t="s">
        <v>42</v>
      </c>
    </row>
    <row r="317" spans="1:7">
      <c r="A317" t="s">
        <v>35</v>
      </c>
      <c r="B317" t="s">
        <v>35</v>
      </c>
      <c r="C317" t="s">
        <v>35</v>
      </c>
      <c r="D317" t="s">
        <v>35</v>
      </c>
      <c r="E317" t="s">
        <v>35</v>
      </c>
      <c r="F317" t="s">
        <v>35</v>
      </c>
      <c r="G317" t="s">
        <v>35</v>
      </c>
    </row>
    <row r="318" spans="1:7">
      <c r="A318" t="s">
        <v>50</v>
      </c>
      <c r="B318" t="s">
        <v>51</v>
      </c>
      <c r="C318" t="s">
        <v>52</v>
      </c>
      <c r="D318" t="s">
        <v>53</v>
      </c>
      <c r="E318" t="s">
        <v>54</v>
      </c>
      <c r="F318" t="s">
        <v>55</v>
      </c>
      <c r="G318" t="s">
        <v>42</v>
      </c>
    </row>
    <row r="319" spans="1:7">
      <c r="A319" t="s">
        <v>35</v>
      </c>
      <c r="B319" t="s">
        <v>35</v>
      </c>
      <c r="C319" t="s">
        <v>35</v>
      </c>
      <c r="D319" t="s">
        <v>35</v>
      </c>
      <c r="E319" t="s">
        <v>35</v>
      </c>
      <c r="F319" t="s">
        <v>35</v>
      </c>
      <c r="G319" t="s">
        <v>35</v>
      </c>
    </row>
    <row r="320" spans="1:7">
      <c r="A320" t="s">
        <v>36</v>
      </c>
      <c r="B320" t="s">
        <v>37</v>
      </c>
      <c r="C320" t="s">
        <v>117</v>
      </c>
      <c r="D320" t="s">
        <v>118</v>
      </c>
      <c r="E320" t="s">
        <v>119</v>
      </c>
      <c r="F320" t="s">
        <v>120</v>
      </c>
      <c r="G320" t="s">
        <v>49</v>
      </c>
    </row>
    <row r="321" spans="1:7">
      <c r="A321" t="s">
        <v>35</v>
      </c>
      <c r="B321" t="s">
        <v>35</v>
      </c>
      <c r="C321" t="s">
        <v>35</v>
      </c>
      <c r="D321" t="s">
        <v>35</v>
      </c>
      <c r="E321" t="s">
        <v>35</v>
      </c>
      <c r="F321" t="s">
        <v>35</v>
      </c>
      <c r="G321" t="s">
        <v>35</v>
      </c>
    </row>
    <row r="322" spans="1:7">
      <c r="A322" t="s">
        <v>80</v>
      </c>
      <c r="B322" t="s">
        <v>81</v>
      </c>
      <c r="C322" t="s">
        <v>86</v>
      </c>
      <c r="D322" t="s">
        <v>87</v>
      </c>
      <c r="E322" t="s">
        <v>88</v>
      </c>
      <c r="F322" t="s">
        <v>89</v>
      </c>
      <c r="G322" t="s">
        <v>42</v>
      </c>
    </row>
    <row r="323" spans="1:7">
      <c r="A323" t="s">
        <v>35</v>
      </c>
      <c r="B323" t="s">
        <v>35</v>
      </c>
      <c r="C323" t="s">
        <v>35</v>
      </c>
      <c r="D323" t="s">
        <v>35</v>
      </c>
      <c r="E323" t="s">
        <v>35</v>
      </c>
      <c r="F323" t="s">
        <v>35</v>
      </c>
      <c r="G323" t="s">
        <v>35</v>
      </c>
    </row>
    <row r="324" spans="1:7">
      <c r="A324" t="s">
        <v>62</v>
      </c>
      <c r="B324" t="s">
        <v>63</v>
      </c>
      <c r="C324" t="s">
        <v>64</v>
      </c>
      <c r="D324" t="s">
        <v>65</v>
      </c>
      <c r="E324" t="s">
        <v>66</v>
      </c>
      <c r="F324" t="s">
        <v>67</v>
      </c>
      <c r="G324" t="s">
        <v>49</v>
      </c>
    </row>
    <row r="325" spans="1:7">
      <c r="A325" t="s">
        <v>35</v>
      </c>
      <c r="B325" t="s">
        <v>35</v>
      </c>
      <c r="C325" t="s">
        <v>35</v>
      </c>
      <c r="D325" t="s">
        <v>35</v>
      </c>
      <c r="E325" t="s">
        <v>35</v>
      </c>
      <c r="F325" t="s">
        <v>35</v>
      </c>
      <c r="G325" t="s">
        <v>35</v>
      </c>
    </row>
    <row r="326" spans="1:7">
      <c r="A326" t="s">
        <v>50</v>
      </c>
      <c r="B326" t="s">
        <v>51</v>
      </c>
      <c r="C326" t="s">
        <v>52</v>
      </c>
      <c r="D326" t="s">
        <v>53</v>
      </c>
      <c r="E326" t="s">
        <v>54</v>
      </c>
      <c r="F326" t="s">
        <v>55</v>
      </c>
      <c r="G326" t="s">
        <v>42</v>
      </c>
    </row>
    <row r="327" spans="1:7">
      <c r="A327" t="s">
        <v>35</v>
      </c>
      <c r="B327" t="s">
        <v>35</v>
      </c>
      <c r="C327" t="s">
        <v>35</v>
      </c>
      <c r="D327" t="s">
        <v>35</v>
      </c>
      <c r="E327" t="s">
        <v>35</v>
      </c>
      <c r="F327" t="s">
        <v>35</v>
      </c>
      <c r="G327" t="s">
        <v>35</v>
      </c>
    </row>
    <row r="328" spans="1:7">
      <c r="A328" t="s">
        <v>129</v>
      </c>
      <c r="B328" t="s">
        <v>130</v>
      </c>
      <c r="C328" t="s">
        <v>125</v>
      </c>
      <c r="D328" t="s">
        <v>131</v>
      </c>
      <c r="E328" t="s">
        <v>132</v>
      </c>
      <c r="F328" t="s">
        <v>133</v>
      </c>
      <c r="G328" t="s">
        <v>49</v>
      </c>
    </row>
    <row r="329" spans="1:7">
      <c r="A329" t="s">
        <v>35</v>
      </c>
      <c r="B329" t="s">
        <v>35</v>
      </c>
      <c r="C329" t="s">
        <v>35</v>
      </c>
      <c r="D329" t="s">
        <v>35</v>
      </c>
      <c r="E329" t="s">
        <v>35</v>
      </c>
      <c r="F329" t="s">
        <v>35</v>
      </c>
      <c r="G329" t="s">
        <v>35</v>
      </c>
    </row>
    <row r="330" spans="1:7">
      <c r="A330" t="s">
        <v>138</v>
      </c>
      <c r="B330" t="s">
        <v>139</v>
      </c>
      <c r="C330" t="s">
        <v>140</v>
      </c>
      <c r="D330" t="s">
        <v>141</v>
      </c>
      <c r="E330" t="s">
        <v>142</v>
      </c>
      <c r="F330" t="s">
        <v>143</v>
      </c>
      <c r="G330" t="s">
        <v>49</v>
      </c>
    </row>
    <row r="331" spans="1:7">
      <c r="A331" t="s">
        <v>35</v>
      </c>
      <c r="B331" t="s">
        <v>35</v>
      </c>
      <c r="C331" t="s">
        <v>35</v>
      </c>
      <c r="D331" t="s">
        <v>35</v>
      </c>
      <c r="E331" t="s">
        <v>35</v>
      </c>
      <c r="F331" t="s">
        <v>35</v>
      </c>
      <c r="G331" t="s">
        <v>35</v>
      </c>
    </row>
    <row r="332" spans="1:7">
      <c r="A332" t="s">
        <v>90</v>
      </c>
      <c r="B332" t="s">
        <v>91</v>
      </c>
      <c r="C332" t="s">
        <v>92</v>
      </c>
      <c r="D332" t="s">
        <v>93</v>
      </c>
      <c r="E332" t="s">
        <v>94</v>
      </c>
      <c r="F332" t="s">
        <v>95</v>
      </c>
      <c r="G332" t="s">
        <v>42</v>
      </c>
    </row>
    <row r="333" spans="1:7">
      <c r="A333" t="s">
        <v>35</v>
      </c>
      <c r="B333" t="s">
        <v>35</v>
      </c>
      <c r="C333" t="s">
        <v>35</v>
      </c>
      <c r="D333" t="s">
        <v>35</v>
      </c>
      <c r="E333" t="s">
        <v>35</v>
      </c>
      <c r="F333" t="s">
        <v>35</v>
      </c>
      <c r="G333" t="s">
        <v>35</v>
      </c>
    </row>
    <row r="334" spans="1:7">
      <c r="A334" t="s">
        <v>74</v>
      </c>
      <c r="B334" t="s">
        <v>75</v>
      </c>
      <c r="C334" t="s">
        <v>125</v>
      </c>
      <c r="D334" t="s">
        <v>126</v>
      </c>
      <c r="E334" t="s">
        <v>127</v>
      </c>
      <c r="F334" t="s">
        <v>128</v>
      </c>
      <c r="G334" t="s">
        <v>49</v>
      </c>
    </row>
    <row r="335" spans="1:7">
      <c r="A335" t="s">
        <v>35</v>
      </c>
      <c r="B335" t="s">
        <v>35</v>
      </c>
      <c r="C335" t="s">
        <v>35</v>
      </c>
      <c r="D335" t="s">
        <v>35</v>
      </c>
      <c r="E335" t="s">
        <v>35</v>
      </c>
      <c r="F335" t="s">
        <v>35</v>
      </c>
      <c r="G335" t="s">
        <v>35</v>
      </c>
    </row>
    <row r="336" spans="1:7">
      <c r="A336" t="s">
        <v>43</v>
      </c>
      <c r="B336" t="s">
        <v>44</v>
      </c>
      <c r="C336" t="s">
        <v>45</v>
      </c>
      <c r="D336" t="s">
        <v>46</v>
      </c>
      <c r="E336" t="s">
        <v>47</v>
      </c>
      <c r="F336" t="s">
        <v>48</v>
      </c>
      <c r="G336" t="s">
        <v>49</v>
      </c>
    </row>
    <row r="337" spans="1:7">
      <c r="A337" t="s">
        <v>35</v>
      </c>
      <c r="B337" t="s">
        <v>35</v>
      </c>
      <c r="C337" t="s">
        <v>35</v>
      </c>
      <c r="D337" t="s">
        <v>35</v>
      </c>
      <c r="E337" t="s">
        <v>35</v>
      </c>
      <c r="F337" t="s">
        <v>35</v>
      </c>
      <c r="G337" t="s">
        <v>35</v>
      </c>
    </row>
    <row r="338" spans="1:7">
      <c r="A338" t="s">
        <v>90</v>
      </c>
      <c r="B338" t="s">
        <v>91</v>
      </c>
      <c r="C338" t="s">
        <v>92</v>
      </c>
      <c r="D338" t="s">
        <v>93</v>
      </c>
      <c r="E338" t="s">
        <v>94</v>
      </c>
      <c r="F338" t="s">
        <v>95</v>
      </c>
      <c r="G338" t="s">
        <v>42</v>
      </c>
    </row>
    <row r="339" spans="1:7">
      <c r="A339" t="s">
        <v>35</v>
      </c>
      <c r="B339" t="s">
        <v>35</v>
      </c>
      <c r="C339" t="s">
        <v>35</v>
      </c>
      <c r="D339" t="s">
        <v>35</v>
      </c>
      <c r="E339" t="s">
        <v>35</v>
      </c>
      <c r="F339" t="s">
        <v>35</v>
      </c>
      <c r="G339" t="s">
        <v>35</v>
      </c>
    </row>
    <row r="340" spans="1:7">
      <c r="A340" t="s">
        <v>80</v>
      </c>
      <c r="B340" t="s">
        <v>81</v>
      </c>
      <c r="C340" t="s">
        <v>86</v>
      </c>
      <c r="D340" t="s">
        <v>87</v>
      </c>
      <c r="E340" t="s">
        <v>88</v>
      </c>
      <c r="F340" t="s">
        <v>89</v>
      </c>
      <c r="G340" t="s">
        <v>42</v>
      </c>
    </row>
    <row r="341" spans="1:7">
      <c r="A341" t="s">
        <v>35</v>
      </c>
      <c r="B341" t="s">
        <v>35</v>
      </c>
      <c r="C341" t="s">
        <v>35</v>
      </c>
      <c r="D341" t="s">
        <v>35</v>
      </c>
      <c r="E341" t="s">
        <v>35</v>
      </c>
      <c r="F341" t="s">
        <v>35</v>
      </c>
      <c r="G341" t="s">
        <v>35</v>
      </c>
    </row>
    <row r="342" spans="1:7">
      <c r="A342" t="s">
        <v>56</v>
      </c>
      <c r="B342" t="s">
        <v>57</v>
      </c>
      <c r="C342" t="s">
        <v>58</v>
      </c>
      <c r="D342" t="s">
        <v>59</v>
      </c>
      <c r="E342" t="s">
        <v>60</v>
      </c>
      <c r="F342" t="s">
        <v>61</v>
      </c>
      <c r="G342" t="s">
        <v>49</v>
      </c>
    </row>
    <row r="343" spans="1:7">
      <c r="A343" t="s">
        <v>35</v>
      </c>
      <c r="B343" t="s">
        <v>35</v>
      </c>
      <c r="C343" t="s">
        <v>35</v>
      </c>
      <c r="D343" t="s">
        <v>35</v>
      </c>
      <c r="E343" t="s">
        <v>35</v>
      </c>
      <c r="F343" t="s">
        <v>35</v>
      </c>
      <c r="G343" t="s">
        <v>35</v>
      </c>
    </row>
    <row r="344" spans="1:7">
      <c r="A344" t="s">
        <v>138</v>
      </c>
      <c r="B344" t="s">
        <v>139</v>
      </c>
      <c r="C344" t="s">
        <v>140</v>
      </c>
      <c r="D344" t="s">
        <v>141</v>
      </c>
      <c r="E344" t="s">
        <v>142</v>
      </c>
      <c r="F344" t="s">
        <v>143</v>
      </c>
      <c r="G344" t="s">
        <v>49</v>
      </c>
    </row>
    <row r="345" spans="1:7">
      <c r="A345" t="s">
        <v>35</v>
      </c>
      <c r="B345" t="s">
        <v>35</v>
      </c>
      <c r="C345" t="s">
        <v>35</v>
      </c>
      <c r="D345" t="s">
        <v>35</v>
      </c>
      <c r="E345" t="s">
        <v>35</v>
      </c>
      <c r="F345" t="s">
        <v>35</v>
      </c>
      <c r="G345" t="s">
        <v>35</v>
      </c>
    </row>
    <row r="346" spans="1:7">
      <c r="A346" t="s">
        <v>90</v>
      </c>
      <c r="B346" t="s">
        <v>91</v>
      </c>
      <c r="C346" t="s">
        <v>92</v>
      </c>
      <c r="D346" t="s">
        <v>93</v>
      </c>
      <c r="E346" t="s">
        <v>94</v>
      </c>
      <c r="F346" t="s">
        <v>95</v>
      </c>
      <c r="G346" t="s">
        <v>42</v>
      </c>
    </row>
    <row r="347" spans="1:7">
      <c r="A347" t="s">
        <v>35</v>
      </c>
      <c r="B347" t="s">
        <v>35</v>
      </c>
      <c r="C347" t="s">
        <v>35</v>
      </c>
      <c r="D347" t="s">
        <v>35</v>
      </c>
      <c r="E347" t="s">
        <v>35</v>
      </c>
      <c r="F347" t="s">
        <v>35</v>
      </c>
      <c r="G347" t="s">
        <v>35</v>
      </c>
    </row>
    <row r="348" spans="1:7">
      <c r="A348" t="s">
        <v>43</v>
      </c>
      <c r="B348" t="s">
        <v>44</v>
      </c>
      <c r="C348" t="s">
        <v>45</v>
      </c>
      <c r="D348" t="s">
        <v>46</v>
      </c>
      <c r="E348" t="s">
        <v>47</v>
      </c>
      <c r="F348" t="s">
        <v>48</v>
      </c>
      <c r="G348" t="s">
        <v>49</v>
      </c>
    </row>
    <row r="349" spans="1:7">
      <c r="A349" t="s">
        <v>35</v>
      </c>
      <c r="B349" t="s">
        <v>35</v>
      </c>
      <c r="C349" t="s">
        <v>35</v>
      </c>
      <c r="D349" t="s">
        <v>35</v>
      </c>
      <c r="E349" t="s">
        <v>35</v>
      </c>
      <c r="F349" t="s">
        <v>35</v>
      </c>
      <c r="G349" t="s">
        <v>35</v>
      </c>
    </row>
    <row r="350" spans="1:7">
      <c r="A350" t="s">
        <v>68</v>
      </c>
      <c r="B350" t="s">
        <v>69</v>
      </c>
      <c r="C350" t="s">
        <v>70</v>
      </c>
      <c r="D350" t="s">
        <v>71</v>
      </c>
      <c r="E350" t="s">
        <v>72</v>
      </c>
      <c r="F350" t="s">
        <v>73</v>
      </c>
      <c r="G350" t="s">
        <v>42</v>
      </c>
    </row>
    <row r="351" spans="1:7">
      <c r="A351" t="s">
        <v>35</v>
      </c>
      <c r="B351" t="s">
        <v>35</v>
      </c>
      <c r="C351" t="s">
        <v>35</v>
      </c>
      <c r="D351" t="s">
        <v>35</v>
      </c>
      <c r="E351" t="s">
        <v>35</v>
      </c>
      <c r="F351" t="s">
        <v>35</v>
      </c>
      <c r="G351" t="s">
        <v>35</v>
      </c>
    </row>
    <row r="352" spans="1:7">
      <c r="A352" t="s">
        <v>68</v>
      </c>
      <c r="B352" t="s">
        <v>69</v>
      </c>
      <c r="C352" t="s">
        <v>70</v>
      </c>
      <c r="D352" t="s">
        <v>71</v>
      </c>
      <c r="E352" t="s">
        <v>72</v>
      </c>
      <c r="F352" t="s">
        <v>73</v>
      </c>
      <c r="G352" t="s">
        <v>42</v>
      </c>
    </row>
    <row r="353" spans="1:7">
      <c r="A353" t="s">
        <v>35</v>
      </c>
      <c r="B353" t="s">
        <v>35</v>
      </c>
      <c r="C353" t="s">
        <v>35</v>
      </c>
      <c r="D353" t="s">
        <v>35</v>
      </c>
      <c r="E353" t="s">
        <v>35</v>
      </c>
      <c r="F353" t="s">
        <v>35</v>
      </c>
      <c r="G353" t="s">
        <v>35</v>
      </c>
    </row>
    <row r="354" spans="1:7">
      <c r="A354" t="s">
        <v>111</v>
      </c>
      <c r="B354" t="s">
        <v>112</v>
      </c>
      <c r="C354" t="s">
        <v>113</v>
      </c>
      <c r="D354" t="s">
        <v>114</v>
      </c>
      <c r="E354" t="s">
        <v>115</v>
      </c>
      <c r="F354" t="s">
        <v>116</v>
      </c>
      <c r="G354" t="s">
        <v>42</v>
      </c>
    </row>
    <row r="355" spans="1:7">
      <c r="A355" t="s">
        <v>35</v>
      </c>
      <c r="B355" t="s">
        <v>35</v>
      </c>
      <c r="C355" t="s">
        <v>35</v>
      </c>
      <c r="D355" t="s">
        <v>35</v>
      </c>
      <c r="E355" t="s">
        <v>35</v>
      </c>
      <c r="F355" t="s">
        <v>35</v>
      </c>
      <c r="G355" t="s">
        <v>35</v>
      </c>
    </row>
    <row r="356" spans="1:7">
      <c r="A356" t="s">
        <v>74</v>
      </c>
      <c r="B356" t="s">
        <v>75</v>
      </c>
      <c r="C356" t="s">
        <v>125</v>
      </c>
      <c r="D356" t="s">
        <v>126</v>
      </c>
      <c r="E356" t="s">
        <v>127</v>
      </c>
      <c r="F356" t="s">
        <v>128</v>
      </c>
      <c r="G356" t="s">
        <v>49</v>
      </c>
    </row>
    <row r="357" spans="1:7">
      <c r="A357" t="s">
        <v>35</v>
      </c>
      <c r="B357" t="s">
        <v>35</v>
      </c>
      <c r="C357" t="s">
        <v>35</v>
      </c>
      <c r="D357" t="s">
        <v>35</v>
      </c>
      <c r="E357" t="s">
        <v>35</v>
      </c>
      <c r="F357" t="s">
        <v>35</v>
      </c>
      <c r="G357" t="s">
        <v>35</v>
      </c>
    </row>
    <row r="358" spans="1:7">
      <c r="A358" t="s">
        <v>56</v>
      </c>
      <c r="B358" t="s">
        <v>57</v>
      </c>
      <c r="C358" t="s">
        <v>107</v>
      </c>
      <c r="D358" t="s">
        <v>108</v>
      </c>
      <c r="E358" t="s">
        <v>109</v>
      </c>
      <c r="F358" t="s">
        <v>110</v>
      </c>
      <c r="G358" t="s">
        <v>42</v>
      </c>
    </row>
    <row r="359" spans="1:7">
      <c r="A359" t="s">
        <v>35</v>
      </c>
      <c r="B359" t="s">
        <v>35</v>
      </c>
      <c r="C359" t="s">
        <v>35</v>
      </c>
      <c r="D359" t="s">
        <v>35</v>
      </c>
      <c r="E359" t="s">
        <v>35</v>
      </c>
      <c r="F359" t="s">
        <v>35</v>
      </c>
      <c r="G359" t="s">
        <v>35</v>
      </c>
    </row>
    <row r="360" spans="1:7">
      <c r="A360" t="s">
        <v>36</v>
      </c>
      <c r="B360" t="s">
        <v>37</v>
      </c>
      <c r="C360" t="s">
        <v>38</v>
      </c>
      <c r="D360" t="s">
        <v>39</v>
      </c>
      <c r="E360" t="s">
        <v>40</v>
      </c>
      <c r="F360" t="s">
        <v>41</v>
      </c>
      <c r="G360" t="s">
        <v>42</v>
      </c>
    </row>
    <row r="361" spans="1:7">
      <c r="A361" t="s">
        <v>35</v>
      </c>
      <c r="B361" t="s">
        <v>35</v>
      </c>
      <c r="C361" t="s">
        <v>35</v>
      </c>
      <c r="D361" t="s">
        <v>35</v>
      </c>
      <c r="E361" t="s">
        <v>35</v>
      </c>
      <c r="F361" t="s">
        <v>35</v>
      </c>
      <c r="G361" t="s">
        <v>35</v>
      </c>
    </row>
    <row r="362" spans="1:7">
      <c r="A362" t="s">
        <v>50</v>
      </c>
      <c r="B362" t="s">
        <v>51</v>
      </c>
      <c r="C362" t="s">
        <v>52</v>
      </c>
      <c r="D362" t="s">
        <v>53</v>
      </c>
      <c r="E362" t="s">
        <v>54</v>
      </c>
      <c r="F362" t="s">
        <v>55</v>
      </c>
      <c r="G362" t="s">
        <v>42</v>
      </c>
    </row>
    <row r="363" spans="1:7">
      <c r="A363" t="s">
        <v>35</v>
      </c>
      <c r="B363" t="s">
        <v>35</v>
      </c>
      <c r="C363" t="s">
        <v>35</v>
      </c>
      <c r="D363" t="s">
        <v>35</v>
      </c>
      <c r="E363" t="s">
        <v>35</v>
      </c>
      <c r="F363" t="s">
        <v>35</v>
      </c>
      <c r="G363" t="s">
        <v>35</v>
      </c>
    </row>
    <row r="364" spans="1:7">
      <c r="A364" t="s">
        <v>90</v>
      </c>
      <c r="B364" t="s">
        <v>91</v>
      </c>
      <c r="C364" t="s">
        <v>92</v>
      </c>
      <c r="D364" t="s">
        <v>93</v>
      </c>
      <c r="E364" t="s">
        <v>94</v>
      </c>
      <c r="F364" t="s">
        <v>95</v>
      </c>
      <c r="G364" t="s">
        <v>42</v>
      </c>
    </row>
    <row r="365" spans="1:7">
      <c r="A365" t="s">
        <v>35</v>
      </c>
      <c r="B365" t="s">
        <v>35</v>
      </c>
      <c r="C365" t="s">
        <v>35</v>
      </c>
      <c r="D365" t="s">
        <v>35</v>
      </c>
      <c r="E365" t="s">
        <v>35</v>
      </c>
      <c r="F365" t="s">
        <v>35</v>
      </c>
      <c r="G365" t="s">
        <v>35</v>
      </c>
    </row>
    <row r="366" spans="1:7">
      <c r="A366" t="s">
        <v>80</v>
      </c>
      <c r="B366" t="s">
        <v>81</v>
      </c>
      <c r="C366" t="s">
        <v>86</v>
      </c>
      <c r="D366" t="s">
        <v>87</v>
      </c>
      <c r="E366" t="s">
        <v>88</v>
      </c>
      <c r="F366" t="s">
        <v>89</v>
      </c>
      <c r="G366" t="s">
        <v>42</v>
      </c>
    </row>
    <row r="367" spans="1:7">
      <c r="A367" t="s">
        <v>35</v>
      </c>
      <c r="B367" t="s">
        <v>35</v>
      </c>
      <c r="C367" t="s">
        <v>35</v>
      </c>
      <c r="D367" t="s">
        <v>35</v>
      </c>
      <c r="E367" t="s">
        <v>35</v>
      </c>
      <c r="F367" t="s">
        <v>35</v>
      </c>
      <c r="G367" t="s">
        <v>35</v>
      </c>
    </row>
    <row r="368" spans="1:7">
      <c r="A368" t="s">
        <v>80</v>
      </c>
      <c r="B368" t="s">
        <v>81</v>
      </c>
      <c r="C368" t="s">
        <v>82</v>
      </c>
      <c r="D368" t="s">
        <v>83</v>
      </c>
      <c r="E368" t="s">
        <v>84</v>
      </c>
      <c r="F368" t="s">
        <v>85</v>
      </c>
      <c r="G368" t="s">
        <v>42</v>
      </c>
    </row>
    <row r="369" spans="1:7">
      <c r="A369" t="s">
        <v>35</v>
      </c>
      <c r="B369" t="s">
        <v>35</v>
      </c>
      <c r="C369" t="s">
        <v>35</v>
      </c>
      <c r="D369" t="s">
        <v>35</v>
      </c>
      <c r="E369" t="s">
        <v>35</v>
      </c>
      <c r="F369" t="s">
        <v>35</v>
      </c>
      <c r="G369" t="s">
        <v>35</v>
      </c>
    </row>
    <row r="370" spans="1:7">
      <c r="A370" t="s">
        <v>138</v>
      </c>
      <c r="B370" t="s">
        <v>139</v>
      </c>
      <c r="C370" t="s">
        <v>140</v>
      </c>
      <c r="D370" t="s">
        <v>141</v>
      </c>
      <c r="E370" t="s">
        <v>142</v>
      </c>
      <c r="F370" t="s">
        <v>143</v>
      </c>
      <c r="G370" t="s">
        <v>49</v>
      </c>
    </row>
    <row r="371" spans="1:7">
      <c r="A371" t="s">
        <v>35</v>
      </c>
      <c r="B371" t="s">
        <v>35</v>
      </c>
      <c r="C371" t="s">
        <v>35</v>
      </c>
      <c r="D371" t="s">
        <v>35</v>
      </c>
      <c r="E371" t="s">
        <v>35</v>
      </c>
      <c r="F371" t="s">
        <v>35</v>
      </c>
      <c r="G371" t="s">
        <v>35</v>
      </c>
    </row>
    <row r="372" spans="1:7">
      <c r="A372" t="s">
        <v>101</v>
      </c>
      <c r="B372" t="s">
        <v>102</v>
      </c>
      <c r="C372" t="s">
        <v>103</v>
      </c>
      <c r="D372" t="s">
        <v>104</v>
      </c>
      <c r="E372" t="s">
        <v>105</v>
      </c>
      <c r="F372" t="s">
        <v>106</v>
      </c>
      <c r="G372" t="s">
        <v>42</v>
      </c>
    </row>
    <row r="373" spans="1:7">
      <c r="A373" t="s">
        <v>35</v>
      </c>
      <c r="B373" t="s">
        <v>35</v>
      </c>
      <c r="C373" t="s">
        <v>35</v>
      </c>
      <c r="D373" t="s">
        <v>35</v>
      </c>
      <c r="E373" t="s">
        <v>35</v>
      </c>
      <c r="F373" t="s">
        <v>35</v>
      </c>
      <c r="G373" t="s">
        <v>35</v>
      </c>
    </row>
    <row r="374" spans="1:7">
      <c r="A374" t="s">
        <v>62</v>
      </c>
      <c r="B374" t="s">
        <v>63</v>
      </c>
      <c r="C374" t="s">
        <v>64</v>
      </c>
      <c r="D374" t="s">
        <v>65</v>
      </c>
      <c r="E374" t="s">
        <v>66</v>
      </c>
      <c r="F374" t="s">
        <v>67</v>
      </c>
      <c r="G374" t="s">
        <v>49</v>
      </c>
    </row>
    <row r="375" spans="1:7">
      <c r="A375" t="s">
        <v>35</v>
      </c>
      <c r="B375" t="s">
        <v>35</v>
      </c>
      <c r="C375" t="s">
        <v>35</v>
      </c>
      <c r="D375" t="s">
        <v>35</v>
      </c>
      <c r="E375" t="s">
        <v>35</v>
      </c>
      <c r="F375" t="s">
        <v>35</v>
      </c>
      <c r="G375" t="s">
        <v>35</v>
      </c>
    </row>
    <row r="376" spans="1:7">
      <c r="A376" t="s">
        <v>56</v>
      </c>
      <c r="B376" t="s">
        <v>57</v>
      </c>
      <c r="C376" t="s">
        <v>107</v>
      </c>
      <c r="D376" t="s">
        <v>108</v>
      </c>
      <c r="E376" t="s">
        <v>109</v>
      </c>
      <c r="F376" t="s">
        <v>110</v>
      </c>
      <c r="G376" t="s">
        <v>42</v>
      </c>
    </row>
    <row r="377" spans="1:7">
      <c r="A377" t="s">
        <v>35</v>
      </c>
      <c r="B377" t="s">
        <v>35</v>
      </c>
      <c r="C377" t="s">
        <v>35</v>
      </c>
      <c r="D377" t="s">
        <v>35</v>
      </c>
      <c r="E377" t="s">
        <v>35</v>
      </c>
      <c r="F377" t="s">
        <v>35</v>
      </c>
      <c r="G377" t="s">
        <v>35</v>
      </c>
    </row>
    <row r="378" spans="1:7">
      <c r="A378" t="s">
        <v>68</v>
      </c>
      <c r="B378" t="s">
        <v>69</v>
      </c>
      <c r="C378" t="s">
        <v>70</v>
      </c>
      <c r="D378" t="s">
        <v>71</v>
      </c>
      <c r="E378" t="s">
        <v>72</v>
      </c>
      <c r="F378" t="s">
        <v>73</v>
      </c>
      <c r="G378" t="s">
        <v>42</v>
      </c>
    </row>
    <row r="379" spans="1:7">
      <c r="A379" t="s">
        <v>35</v>
      </c>
      <c r="B379" t="s">
        <v>35</v>
      </c>
      <c r="C379" t="s">
        <v>35</v>
      </c>
      <c r="D379" t="s">
        <v>35</v>
      </c>
      <c r="E379" t="s">
        <v>35</v>
      </c>
      <c r="F379" t="s">
        <v>35</v>
      </c>
      <c r="G379" t="s">
        <v>35</v>
      </c>
    </row>
    <row r="380" spans="1:7">
      <c r="A380" t="s">
        <v>90</v>
      </c>
      <c r="B380" t="s">
        <v>91</v>
      </c>
      <c r="C380" t="s">
        <v>121</v>
      </c>
      <c r="D380" t="s">
        <v>122</v>
      </c>
      <c r="E380" t="s">
        <v>123</v>
      </c>
      <c r="F380" t="s">
        <v>124</v>
      </c>
      <c r="G380" t="s">
        <v>42</v>
      </c>
    </row>
    <row r="381" spans="1:7">
      <c r="A381" t="s">
        <v>35</v>
      </c>
      <c r="B381" t="s">
        <v>35</v>
      </c>
      <c r="C381" t="s">
        <v>35</v>
      </c>
      <c r="D381" t="s">
        <v>35</v>
      </c>
      <c r="E381" t="s">
        <v>35</v>
      </c>
      <c r="F381" t="s">
        <v>35</v>
      </c>
      <c r="G381" t="s">
        <v>35</v>
      </c>
    </row>
    <row r="382" spans="1:7">
      <c r="A382" t="s">
        <v>43</v>
      </c>
      <c r="B382" t="s">
        <v>44</v>
      </c>
      <c r="C382" t="s">
        <v>45</v>
      </c>
      <c r="D382" t="s">
        <v>46</v>
      </c>
      <c r="E382" t="s">
        <v>47</v>
      </c>
      <c r="F382" t="s">
        <v>48</v>
      </c>
      <c r="G382" t="s">
        <v>49</v>
      </c>
    </row>
    <row r="383" spans="1:7">
      <c r="A383" t="s">
        <v>35</v>
      </c>
      <c r="B383" t="s">
        <v>35</v>
      </c>
      <c r="C383" t="s">
        <v>35</v>
      </c>
      <c r="D383" t="s">
        <v>35</v>
      </c>
      <c r="E383" t="s">
        <v>35</v>
      </c>
      <c r="F383" t="s">
        <v>35</v>
      </c>
      <c r="G383" t="s">
        <v>35</v>
      </c>
    </row>
    <row r="384" spans="1:7">
      <c r="A384" t="s">
        <v>36</v>
      </c>
      <c r="B384" t="s">
        <v>37</v>
      </c>
      <c r="C384" t="s">
        <v>38</v>
      </c>
      <c r="D384" t="s">
        <v>39</v>
      </c>
      <c r="E384" t="s">
        <v>40</v>
      </c>
      <c r="F384" t="s">
        <v>41</v>
      </c>
      <c r="G384" t="s">
        <v>42</v>
      </c>
    </row>
    <row r="385" spans="1:7">
      <c r="A385" t="s">
        <v>35</v>
      </c>
      <c r="B385" t="s">
        <v>35</v>
      </c>
      <c r="C385" t="s">
        <v>35</v>
      </c>
      <c r="D385" t="s">
        <v>35</v>
      </c>
      <c r="E385" t="s">
        <v>35</v>
      </c>
      <c r="F385" t="s">
        <v>35</v>
      </c>
      <c r="G385" t="s">
        <v>35</v>
      </c>
    </row>
    <row r="386" spans="1:7">
      <c r="A386" t="s">
        <v>74</v>
      </c>
      <c r="B386" t="s">
        <v>75</v>
      </c>
      <c r="C386" t="s">
        <v>76</v>
      </c>
      <c r="D386" t="s">
        <v>77</v>
      </c>
      <c r="E386" t="s">
        <v>78</v>
      </c>
      <c r="F386" t="s">
        <v>79</v>
      </c>
      <c r="G386" t="s">
        <v>49</v>
      </c>
    </row>
    <row r="387" spans="1:7">
      <c r="A387" t="s">
        <v>35</v>
      </c>
      <c r="B387" t="s">
        <v>35</v>
      </c>
      <c r="C387" t="s">
        <v>35</v>
      </c>
      <c r="D387" t="s">
        <v>35</v>
      </c>
      <c r="E387" t="s">
        <v>35</v>
      </c>
      <c r="F387" t="s">
        <v>35</v>
      </c>
      <c r="G387" t="s">
        <v>35</v>
      </c>
    </row>
    <row r="388" spans="1:7">
      <c r="A388" t="s">
        <v>68</v>
      </c>
      <c r="B388" t="s">
        <v>69</v>
      </c>
      <c r="C388" t="s">
        <v>70</v>
      </c>
      <c r="D388" t="s">
        <v>71</v>
      </c>
      <c r="E388" t="s">
        <v>72</v>
      </c>
      <c r="F388" t="s">
        <v>73</v>
      </c>
      <c r="G388" t="s">
        <v>42</v>
      </c>
    </row>
    <row r="389" spans="1:7">
      <c r="A389" t="s">
        <v>35</v>
      </c>
      <c r="B389" t="s">
        <v>35</v>
      </c>
      <c r="C389" t="s">
        <v>35</v>
      </c>
      <c r="D389" t="s">
        <v>35</v>
      </c>
      <c r="E389" t="s">
        <v>35</v>
      </c>
      <c r="F389" t="s">
        <v>35</v>
      </c>
      <c r="G389" t="s">
        <v>35</v>
      </c>
    </row>
    <row r="390" spans="1:7">
      <c r="A390" t="s">
        <v>56</v>
      </c>
      <c r="B390" t="s">
        <v>57</v>
      </c>
      <c r="C390" t="s">
        <v>107</v>
      </c>
      <c r="D390" t="s">
        <v>108</v>
      </c>
      <c r="E390" t="s">
        <v>109</v>
      </c>
      <c r="F390" t="s">
        <v>110</v>
      </c>
      <c r="G390" t="s">
        <v>42</v>
      </c>
    </row>
    <row r="391" spans="1:7">
      <c r="A391" t="s">
        <v>35</v>
      </c>
      <c r="B391" t="s">
        <v>35</v>
      </c>
      <c r="C391" t="s">
        <v>35</v>
      </c>
      <c r="D391" t="s">
        <v>35</v>
      </c>
      <c r="E391" t="s">
        <v>35</v>
      </c>
      <c r="F391" t="s">
        <v>35</v>
      </c>
      <c r="G391" t="s">
        <v>35</v>
      </c>
    </row>
    <row r="392" spans="1:7">
      <c r="A392" t="s">
        <v>90</v>
      </c>
      <c r="B392" t="s">
        <v>91</v>
      </c>
      <c r="C392" t="s">
        <v>92</v>
      </c>
      <c r="D392" t="s">
        <v>93</v>
      </c>
      <c r="E392" t="s">
        <v>94</v>
      </c>
      <c r="F392" t="s">
        <v>95</v>
      </c>
      <c r="G392" t="s">
        <v>42</v>
      </c>
    </row>
    <row r="393" spans="1:7">
      <c r="A393" t="s">
        <v>35</v>
      </c>
      <c r="B393" t="s">
        <v>35</v>
      </c>
      <c r="C393" t="s">
        <v>35</v>
      </c>
      <c r="D393" t="s">
        <v>35</v>
      </c>
      <c r="E393" t="s">
        <v>35</v>
      </c>
      <c r="F393" t="s">
        <v>35</v>
      </c>
      <c r="G393" t="s">
        <v>35</v>
      </c>
    </row>
    <row r="394" spans="1:7">
      <c r="A394" t="s">
        <v>74</v>
      </c>
      <c r="B394" t="s">
        <v>75</v>
      </c>
      <c r="C394" t="s">
        <v>134</v>
      </c>
      <c r="D394" t="s">
        <v>135</v>
      </c>
      <c r="E394" t="s">
        <v>136</v>
      </c>
      <c r="F394" t="s">
        <v>137</v>
      </c>
      <c r="G394" t="s">
        <v>42</v>
      </c>
    </row>
    <row r="395" spans="1:7">
      <c r="A395" t="s">
        <v>35</v>
      </c>
      <c r="B395" t="s">
        <v>35</v>
      </c>
      <c r="C395" t="s">
        <v>35</v>
      </c>
      <c r="D395" t="s">
        <v>35</v>
      </c>
      <c r="E395" t="s">
        <v>35</v>
      </c>
      <c r="F395" t="s">
        <v>35</v>
      </c>
      <c r="G395" t="s">
        <v>35</v>
      </c>
    </row>
    <row r="396" spans="1:7">
      <c r="A396" t="s">
        <v>68</v>
      </c>
      <c r="B396" t="s">
        <v>69</v>
      </c>
      <c r="C396" t="s">
        <v>70</v>
      </c>
      <c r="D396" t="s">
        <v>71</v>
      </c>
      <c r="E396" t="s">
        <v>72</v>
      </c>
      <c r="F396" t="s">
        <v>73</v>
      </c>
      <c r="G396" t="s">
        <v>42</v>
      </c>
    </row>
    <row r="397" spans="1:7">
      <c r="A397" t="s">
        <v>35</v>
      </c>
      <c r="B397" t="s">
        <v>35</v>
      </c>
      <c r="C397" t="s">
        <v>35</v>
      </c>
      <c r="D397" t="s">
        <v>35</v>
      </c>
      <c r="E397" t="s">
        <v>35</v>
      </c>
      <c r="F397" t="s">
        <v>35</v>
      </c>
      <c r="G397" t="s">
        <v>35</v>
      </c>
    </row>
    <row r="398" spans="1:7">
      <c r="A398" t="s">
        <v>101</v>
      </c>
      <c r="B398" t="s">
        <v>102</v>
      </c>
      <c r="C398" t="s">
        <v>103</v>
      </c>
      <c r="D398" t="s">
        <v>104</v>
      </c>
      <c r="E398" t="s">
        <v>105</v>
      </c>
      <c r="F398" t="s">
        <v>106</v>
      </c>
      <c r="G398" t="s">
        <v>42</v>
      </c>
    </row>
    <row r="399" spans="1:7">
      <c r="A399" t="s">
        <v>35</v>
      </c>
      <c r="B399" t="s">
        <v>35</v>
      </c>
      <c r="C399" t="s">
        <v>35</v>
      </c>
      <c r="D399" t="s">
        <v>35</v>
      </c>
      <c r="E399" t="s">
        <v>35</v>
      </c>
      <c r="F399" t="s">
        <v>35</v>
      </c>
      <c r="G399" t="s">
        <v>35</v>
      </c>
    </row>
    <row r="400" spans="1:7">
      <c r="A400" t="s">
        <v>80</v>
      </c>
      <c r="B400" t="s">
        <v>81</v>
      </c>
      <c r="C400" t="s">
        <v>86</v>
      </c>
      <c r="D400" t="s">
        <v>87</v>
      </c>
      <c r="E400" t="s">
        <v>88</v>
      </c>
      <c r="F400" t="s">
        <v>89</v>
      </c>
      <c r="G400" t="s">
        <v>42</v>
      </c>
    </row>
    <row r="401" spans="1:7">
      <c r="A401" t="s">
        <v>35</v>
      </c>
      <c r="B401" t="s">
        <v>35</v>
      </c>
      <c r="C401" t="s">
        <v>35</v>
      </c>
      <c r="D401" t="s">
        <v>35</v>
      </c>
      <c r="E401" t="s">
        <v>35</v>
      </c>
      <c r="F401" t="s">
        <v>35</v>
      </c>
      <c r="G401" t="s">
        <v>35</v>
      </c>
    </row>
    <row r="402" spans="1:7">
      <c r="A402" t="s">
        <v>36</v>
      </c>
      <c r="B402" t="s">
        <v>37</v>
      </c>
      <c r="C402" t="s">
        <v>117</v>
      </c>
      <c r="D402" t="s">
        <v>118</v>
      </c>
      <c r="E402" t="s">
        <v>119</v>
      </c>
      <c r="F402" t="s">
        <v>120</v>
      </c>
      <c r="G402" t="s">
        <v>49</v>
      </c>
    </row>
    <row r="403" spans="1:7">
      <c r="A403" t="s">
        <v>35</v>
      </c>
      <c r="B403" t="s">
        <v>35</v>
      </c>
      <c r="C403" t="s">
        <v>35</v>
      </c>
      <c r="D403" t="s">
        <v>35</v>
      </c>
      <c r="E403" t="s">
        <v>35</v>
      </c>
      <c r="F403" t="s">
        <v>35</v>
      </c>
      <c r="G403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7"/>
  <sheetViews>
    <sheetView workbookViewId="0">
      <selection activeCell="K38" sqref="K38"/>
    </sheetView>
  </sheetViews>
  <sheetFormatPr defaultRowHeight="15"/>
  <cols>
    <col min="1" max="1" width="26.140625" style="1" bestFit="1" customWidth="1"/>
    <col min="2" max="3" width="11.140625" bestFit="1" customWidth="1"/>
    <col min="4" max="4" width="18.28515625" bestFit="1" customWidth="1"/>
    <col min="5" max="5" width="11.140625" style="5" customWidth="1"/>
    <col min="6" max="6" width="18.85546875" style="3" bestFit="1" customWidth="1"/>
    <col min="7" max="7" width="11.140625" bestFit="1" customWidth="1"/>
    <col min="8" max="8" width="26.140625" customWidth="1"/>
    <col min="9" max="9" width="9.140625" style="4"/>
    <col min="10" max="10" width="35" style="8" customWidth="1"/>
    <col min="11" max="11" width="10.7109375" style="4" bestFit="1" customWidth="1"/>
    <col min="12" max="13" width="12" style="4" bestFit="1" customWidth="1"/>
  </cols>
  <sheetData>
    <row r="1" spans="1:14">
      <c r="A1" s="1" t="s">
        <v>28</v>
      </c>
      <c r="B1" t="s">
        <v>29</v>
      </c>
      <c r="C1" t="s">
        <v>30</v>
      </c>
      <c r="D1" t="s">
        <v>31</v>
      </c>
      <c r="E1" s="5" t="s">
        <v>32</v>
      </c>
      <c r="F1" s="3" t="s">
        <v>33</v>
      </c>
      <c r="G1" t="s">
        <v>34</v>
      </c>
      <c r="I1" s="6"/>
    </row>
    <row r="2" spans="1:14">
      <c r="A2" s="1" t="s">
        <v>129</v>
      </c>
      <c r="B2" s="1" t="s">
        <v>130</v>
      </c>
      <c r="C2" s="1" t="s">
        <v>149</v>
      </c>
      <c r="D2" s="2" t="s">
        <v>131</v>
      </c>
      <c r="E2" s="5">
        <v>160</v>
      </c>
      <c r="F2" s="3">
        <v>64.406825648790402</v>
      </c>
      <c r="G2" t="s">
        <v>49</v>
      </c>
      <c r="J2" s="8" t="s">
        <v>144</v>
      </c>
    </row>
    <row r="3" spans="1:14">
      <c r="A3" s="1" t="s">
        <v>129</v>
      </c>
      <c r="B3" s="1" t="s">
        <v>130</v>
      </c>
      <c r="C3" s="1" t="s">
        <v>149</v>
      </c>
      <c r="D3" s="2" t="s">
        <v>131</v>
      </c>
      <c r="E3" s="5">
        <v>160</v>
      </c>
      <c r="F3" s="3">
        <v>64.406825648790402</v>
      </c>
      <c r="G3" t="s">
        <v>49</v>
      </c>
      <c r="J3" s="8" t="s">
        <v>145</v>
      </c>
    </row>
    <row r="4" spans="1:14">
      <c r="A4" s="1" t="s">
        <v>129</v>
      </c>
      <c r="B4" s="1" t="s">
        <v>130</v>
      </c>
      <c r="C4" s="1" t="s">
        <v>149</v>
      </c>
      <c r="D4" s="2" t="s">
        <v>131</v>
      </c>
      <c r="E4" s="5">
        <v>160</v>
      </c>
      <c r="F4" s="3">
        <v>64.406825648790402</v>
      </c>
      <c r="G4" t="s">
        <v>49</v>
      </c>
      <c r="J4" s="8" t="s">
        <v>151</v>
      </c>
    </row>
    <row r="5" spans="1:14">
      <c r="A5" s="1" t="s">
        <v>129</v>
      </c>
      <c r="B5" s="1" t="s">
        <v>130</v>
      </c>
      <c r="C5" s="1" t="s">
        <v>149</v>
      </c>
      <c r="D5" s="2" t="s">
        <v>131</v>
      </c>
      <c r="E5" s="5">
        <v>160</v>
      </c>
      <c r="F5" s="3">
        <v>64.406825648790402</v>
      </c>
      <c r="G5" t="s">
        <v>49</v>
      </c>
      <c r="J5" s="8" t="s">
        <v>152</v>
      </c>
    </row>
    <row r="6" spans="1:14">
      <c r="A6" s="1" t="s">
        <v>129</v>
      </c>
      <c r="B6" s="1" t="s">
        <v>130</v>
      </c>
      <c r="C6" s="1" t="s">
        <v>149</v>
      </c>
      <c r="D6" s="2" t="s">
        <v>131</v>
      </c>
      <c r="E6" s="5">
        <v>160</v>
      </c>
      <c r="F6" s="3">
        <v>64.406825648790402</v>
      </c>
      <c r="G6" t="s">
        <v>49</v>
      </c>
    </row>
    <row r="7" spans="1:14">
      <c r="A7" s="1" t="s">
        <v>129</v>
      </c>
      <c r="B7" s="1" t="s">
        <v>130</v>
      </c>
      <c r="C7" s="1" t="s">
        <v>149</v>
      </c>
      <c r="D7" s="2" t="s">
        <v>131</v>
      </c>
      <c r="E7" s="5">
        <v>160</v>
      </c>
      <c r="F7" s="3">
        <v>64.406825648790402</v>
      </c>
      <c r="G7" t="s">
        <v>49</v>
      </c>
    </row>
    <row r="8" spans="1:14">
      <c r="A8" s="1" t="s">
        <v>129</v>
      </c>
      <c r="B8" s="1" t="s">
        <v>130</v>
      </c>
      <c r="C8" s="1" t="s">
        <v>149</v>
      </c>
      <c r="D8" s="2" t="s">
        <v>131</v>
      </c>
      <c r="E8" s="5">
        <v>160</v>
      </c>
      <c r="F8" s="3">
        <v>64.406825648790402</v>
      </c>
      <c r="G8" t="s">
        <v>49</v>
      </c>
    </row>
    <row r="9" spans="1:14">
      <c r="A9" s="1" t="s">
        <v>62</v>
      </c>
      <c r="B9" s="1" t="s">
        <v>63</v>
      </c>
      <c r="C9" s="1" t="s">
        <v>64</v>
      </c>
      <c r="D9" s="2" t="s">
        <v>65</v>
      </c>
      <c r="E9" s="5">
        <v>538</v>
      </c>
      <c r="F9" s="3">
        <v>20.622264166106799</v>
      </c>
      <c r="G9" t="s">
        <v>49</v>
      </c>
    </row>
    <row r="10" spans="1:14" ht="18.75">
      <c r="A10" s="1" t="s">
        <v>62</v>
      </c>
      <c r="B10" s="1" t="s">
        <v>63</v>
      </c>
      <c r="C10" s="1" t="s">
        <v>64</v>
      </c>
      <c r="D10" s="2" t="s">
        <v>65</v>
      </c>
      <c r="E10" s="5">
        <v>538</v>
      </c>
      <c r="F10" s="3">
        <v>20.622264166106799</v>
      </c>
      <c r="G10" t="s">
        <v>49</v>
      </c>
      <c r="I10" s="11" t="s">
        <v>165</v>
      </c>
      <c r="J10" s="10"/>
      <c r="K10" s="10"/>
      <c r="L10" s="10"/>
      <c r="M10" s="10"/>
      <c r="N10" s="10"/>
    </row>
    <row r="11" spans="1:14">
      <c r="A11" s="1" t="s">
        <v>62</v>
      </c>
      <c r="B11" s="1" t="s">
        <v>63</v>
      </c>
      <c r="C11" s="1" t="s">
        <v>64</v>
      </c>
      <c r="D11" s="2" t="s">
        <v>65</v>
      </c>
      <c r="E11" s="5">
        <v>538</v>
      </c>
      <c r="F11" s="3">
        <v>20.622264166106799</v>
      </c>
      <c r="G11" t="s">
        <v>49</v>
      </c>
      <c r="I11" s="4" t="s">
        <v>157</v>
      </c>
      <c r="J11" s="8" t="s">
        <v>153</v>
      </c>
      <c r="K11" s="4" t="s">
        <v>154</v>
      </c>
      <c r="L11" s="4" t="s">
        <v>155</v>
      </c>
      <c r="M11" s="4" t="s">
        <v>156</v>
      </c>
      <c r="N11" s="4" t="s">
        <v>164</v>
      </c>
    </row>
    <row r="12" spans="1:14">
      <c r="A12" s="1" t="s">
        <v>62</v>
      </c>
      <c r="B12" s="1" t="s">
        <v>63</v>
      </c>
      <c r="C12" s="1" t="s">
        <v>64</v>
      </c>
      <c r="D12" s="2" t="s">
        <v>65</v>
      </c>
      <c r="E12" s="5">
        <v>538</v>
      </c>
      <c r="F12" s="3">
        <v>20.622264166106799</v>
      </c>
      <c r="G12" t="s">
        <v>49</v>
      </c>
      <c r="I12" s="4" cm="1">
        <f t="array" ref="I12:I31">_xlfn.SEQUENCE(COUNTA(_xlfn.ANCHORARRAY(J12)))</f>
        <v>1</v>
      </c>
      <c r="J12" s="8" t="str" cm="1">
        <f t="array" ref="J12:J31">_xlfn.UNIQUE(test_table[name])</f>
        <v>bkzejhvnntfme zfssa</v>
      </c>
      <c r="K12" s="9" cm="1">
        <f t="array" ref="K12:K31">COUNTIF(test_table[name],_xlfn.ANCHORARRAY( J12))</f>
        <v>7</v>
      </c>
      <c r="L12" s="6" cm="1">
        <f t="array" aca="1" ref="L12:L31" ca="1">IFERROR(AVERAGEIF(test_table[name],_xlfn.ANCHORARRAY( J12), test_table[i_value]),0)</f>
        <v>160</v>
      </c>
      <c r="M12" s="6" cm="1">
        <f t="array" aca="1" ref="M12:M31" ca="1">IFERROR(AVERAGEIF(test_table[name],_xlfn.ANCHORARRAY( J12), test_table[f_value]),0)</f>
        <v>64.406825648790402</v>
      </c>
      <c r="N12" cm="1">
        <f t="array" aca="1" ref="N12:N31" ca="1">SUMIF(test_table[name],_xlfn.ANCHORARRAY(J12),test_table[f_value])</f>
        <v>450.84777954153282</v>
      </c>
    </row>
    <row r="13" spans="1:14">
      <c r="A13" s="1" t="s">
        <v>62</v>
      </c>
      <c r="B13" s="1" t="s">
        <v>63</v>
      </c>
      <c r="C13" s="1" t="s">
        <v>64</v>
      </c>
      <c r="D13" s="2" t="s">
        <v>65</v>
      </c>
      <c r="E13" s="5">
        <v>538</v>
      </c>
      <c r="F13" s="3">
        <v>20.622264166106799</v>
      </c>
      <c r="G13" t="s">
        <v>49</v>
      </c>
      <c r="I13" s="4">
        <v>2</v>
      </c>
      <c r="J13" s="8" t="str">
        <v>ctwudbczvnah yfkpcitkta</v>
      </c>
      <c r="K13" s="4">
        <v>12</v>
      </c>
      <c r="L13" s="6">
        <f ca="1"/>
        <v>538</v>
      </c>
      <c r="M13" s="6">
        <f ca="1"/>
        <v>20.622264166106795</v>
      </c>
      <c r="N13">
        <f ca="1"/>
        <v>247.46716999328154</v>
      </c>
    </row>
    <row r="14" spans="1:14">
      <c r="A14" s="1" t="s">
        <v>62</v>
      </c>
      <c r="B14" s="1" t="s">
        <v>63</v>
      </c>
      <c r="C14" s="1" t="s">
        <v>64</v>
      </c>
      <c r="D14" s="2" t="s">
        <v>65</v>
      </c>
      <c r="E14" s="5">
        <v>538</v>
      </c>
      <c r="F14" s="3">
        <v>20.622264166106799</v>
      </c>
      <c r="G14" t="s">
        <v>49</v>
      </c>
      <c r="I14" s="4">
        <v>3</v>
      </c>
      <c r="J14" s="8" t="str">
        <v>cwvsllbdyfxy dndsy</v>
      </c>
      <c r="K14" s="4">
        <v>18</v>
      </c>
      <c r="L14" s="6">
        <f ca="1"/>
        <v>1094.4444444444443</v>
      </c>
      <c r="M14" s="6">
        <f ca="1"/>
        <v>39.275138141432635</v>
      </c>
      <c r="N14">
        <f ca="1"/>
        <v>706.95248654578745</v>
      </c>
    </row>
    <row r="15" spans="1:14">
      <c r="A15" s="1" t="s">
        <v>62</v>
      </c>
      <c r="B15" s="1" t="s">
        <v>63</v>
      </c>
      <c r="C15" s="1" t="s">
        <v>64</v>
      </c>
      <c r="D15" s="2" t="s">
        <v>65</v>
      </c>
      <c r="E15" s="5">
        <v>538</v>
      </c>
      <c r="F15" s="3">
        <v>20.622264166106799</v>
      </c>
      <c r="G15" t="s">
        <v>49</v>
      </c>
      <c r="I15" s="4">
        <v>4</v>
      </c>
      <c r="J15" s="8" t="str">
        <v>dhirppzkka vitoakkd</v>
      </c>
      <c r="K15" s="4">
        <v>7</v>
      </c>
      <c r="L15" s="6">
        <f ca="1"/>
        <v>764</v>
      </c>
      <c r="M15" s="6">
        <f ca="1"/>
        <v>78.496035298454899</v>
      </c>
      <c r="N15">
        <f ca="1"/>
        <v>549.47224708918429</v>
      </c>
    </row>
    <row r="16" spans="1:14">
      <c r="A16" s="1" t="s">
        <v>62</v>
      </c>
      <c r="B16" s="1" t="s">
        <v>63</v>
      </c>
      <c r="C16" s="1" t="s">
        <v>64</v>
      </c>
      <c r="D16" s="2" t="s">
        <v>65</v>
      </c>
      <c r="E16" s="5">
        <v>538</v>
      </c>
      <c r="F16" s="3">
        <v>20.622264166106799</v>
      </c>
      <c r="G16" t="s">
        <v>49</v>
      </c>
      <c r="I16" s="4">
        <v>5</v>
      </c>
      <c r="J16" s="8" t="str">
        <v>efxyoav arsvttwes</v>
      </c>
      <c r="K16" s="4">
        <v>8</v>
      </c>
      <c r="L16" s="6">
        <f ca="1"/>
        <v>1254</v>
      </c>
      <c r="M16" s="6">
        <f ca="1"/>
        <v>40.478311156058197</v>
      </c>
      <c r="N16">
        <f ca="1"/>
        <v>323.82648924846558</v>
      </c>
    </row>
    <row r="17" spans="1:14">
      <c r="A17" s="1" t="s">
        <v>62</v>
      </c>
      <c r="B17" s="1" t="s">
        <v>63</v>
      </c>
      <c r="C17" s="1" t="s">
        <v>64</v>
      </c>
      <c r="D17" s="2" t="s">
        <v>65</v>
      </c>
      <c r="E17" s="5">
        <v>538</v>
      </c>
      <c r="F17" s="3">
        <v>20.622264166106799</v>
      </c>
      <c r="G17" t="s">
        <v>49</v>
      </c>
      <c r="I17" s="4">
        <v>6</v>
      </c>
      <c r="J17" s="8" t="str">
        <v>fqzbhid ojbtqw</v>
      </c>
      <c r="K17" s="4">
        <v>21</v>
      </c>
      <c r="L17" s="6">
        <f ca="1"/>
        <v>1634.2857142857142</v>
      </c>
      <c r="M17" s="6">
        <f ca="1"/>
        <v>48.007774447911601</v>
      </c>
      <c r="N17">
        <f ca="1"/>
        <v>1008.1632634061436</v>
      </c>
    </row>
    <row r="18" spans="1:14">
      <c r="A18" s="1" t="s">
        <v>62</v>
      </c>
      <c r="B18" s="1" t="s">
        <v>63</v>
      </c>
      <c r="C18" s="1" t="s">
        <v>64</v>
      </c>
      <c r="D18" s="2" t="s">
        <v>65</v>
      </c>
      <c r="E18" s="5">
        <v>538</v>
      </c>
      <c r="F18" s="3">
        <v>20.622264166106799</v>
      </c>
      <c r="G18" t="s">
        <v>49</v>
      </c>
      <c r="I18" s="4">
        <v>7</v>
      </c>
      <c r="J18" s="8" t="str">
        <v>gepevjpwsuocd iwxb</v>
      </c>
      <c r="K18" s="4">
        <v>23</v>
      </c>
      <c r="L18" s="6">
        <f ca="1"/>
        <v>462.26086956521738</v>
      </c>
      <c r="M18" s="6">
        <f ca="1"/>
        <v>47.604373831845855</v>
      </c>
      <c r="N18">
        <f ca="1"/>
        <v>1094.9005981324547</v>
      </c>
    </row>
    <row r="19" spans="1:14">
      <c r="A19" s="1" t="s">
        <v>62</v>
      </c>
      <c r="B19" s="1" t="s">
        <v>63</v>
      </c>
      <c r="C19" s="1" t="s">
        <v>64</v>
      </c>
      <c r="D19" s="2" t="s">
        <v>65</v>
      </c>
      <c r="E19" s="5">
        <v>538</v>
      </c>
      <c r="F19" s="3">
        <v>20.622264166106799</v>
      </c>
      <c r="G19" t="s">
        <v>49</v>
      </c>
      <c r="I19" s="4">
        <v>8</v>
      </c>
      <c r="J19" s="8" t="str">
        <v>kolgpazqte ngucucbgbqvhb</v>
      </c>
      <c r="K19" s="4">
        <v>11</v>
      </c>
      <c r="L19" s="6">
        <f ca="1"/>
        <v>798</v>
      </c>
      <c r="M19" s="6">
        <f ca="1"/>
        <v>80.501779771107394</v>
      </c>
      <c r="N19">
        <f ca="1"/>
        <v>885.51957748218138</v>
      </c>
    </row>
    <row r="20" spans="1:14">
      <c r="A20" s="1" t="s">
        <v>62</v>
      </c>
      <c r="B20" s="1" t="s">
        <v>63</v>
      </c>
      <c r="C20" s="1" t="s">
        <v>64</v>
      </c>
      <c r="D20" s="2" t="s">
        <v>65</v>
      </c>
      <c r="E20" s="5">
        <v>538</v>
      </c>
      <c r="F20" s="3">
        <v>20.622264166106799</v>
      </c>
      <c r="G20" t="s">
        <v>49</v>
      </c>
      <c r="I20" s="4">
        <v>9</v>
      </c>
      <c r="J20" s="8" t="str">
        <v>LOL1</v>
      </c>
      <c r="K20" s="4">
        <v>1</v>
      </c>
      <c r="L20" s="6">
        <f ca="1"/>
        <v>571</v>
      </c>
      <c r="M20" s="6">
        <f ca="1"/>
        <v>293.52257125363968</v>
      </c>
      <c r="N20">
        <f ca="1"/>
        <v>293.52257125363968</v>
      </c>
    </row>
    <row r="21" spans="1:14">
      <c r="A21" s="1" t="s">
        <v>90</v>
      </c>
      <c r="B21" s="1" t="s">
        <v>91</v>
      </c>
      <c r="C21" s="1" t="s">
        <v>58</v>
      </c>
      <c r="D21" s="2" t="s">
        <v>93</v>
      </c>
      <c r="E21" s="5">
        <v>1490</v>
      </c>
      <c r="F21" s="3">
        <v>35.6939010543162</v>
      </c>
      <c r="G21" t="s">
        <v>42</v>
      </c>
      <c r="I21" s="4">
        <v>10</v>
      </c>
      <c r="J21" s="8" t="str">
        <v>LOL2</v>
      </c>
      <c r="K21" s="4">
        <v>1</v>
      </c>
      <c r="L21" s="6">
        <f ca="1"/>
        <v>319</v>
      </c>
      <c r="M21" s="6">
        <f ca="1"/>
        <v>200.58660222955638</v>
      </c>
      <c r="N21">
        <f ca="1"/>
        <v>200.58660222955638</v>
      </c>
    </row>
    <row r="22" spans="1:14">
      <c r="A22" s="1" t="s">
        <v>90</v>
      </c>
      <c r="B22" s="1" t="s">
        <v>91</v>
      </c>
      <c r="C22" s="1" t="s">
        <v>58</v>
      </c>
      <c r="D22" s="2" t="s">
        <v>93</v>
      </c>
      <c r="E22" s="5">
        <v>1490</v>
      </c>
      <c r="F22" s="3">
        <v>35.6939010543162</v>
      </c>
      <c r="G22" t="s">
        <v>42</v>
      </c>
      <c r="I22" s="4">
        <v>11</v>
      </c>
      <c r="J22" s="8" t="str">
        <v>LOL3</v>
      </c>
      <c r="K22" s="4">
        <v>1</v>
      </c>
      <c r="L22" s="6">
        <f ca="1"/>
        <v>41</v>
      </c>
      <c r="M22" s="6">
        <f ca="1"/>
        <v>233.75762794535186</v>
      </c>
      <c r="N22">
        <f ca="1"/>
        <v>233.75762794535186</v>
      </c>
    </row>
    <row r="23" spans="1:14">
      <c r="A23" s="1" t="s">
        <v>90</v>
      </c>
      <c r="B23" s="1" t="s">
        <v>91</v>
      </c>
      <c r="C23" s="1" t="s">
        <v>58</v>
      </c>
      <c r="D23" s="2" t="s">
        <v>93</v>
      </c>
      <c r="E23" s="5">
        <v>1490</v>
      </c>
      <c r="F23" s="3">
        <v>35.6939010543162</v>
      </c>
      <c r="G23" t="s">
        <v>42</v>
      </c>
      <c r="I23" s="4">
        <v>12</v>
      </c>
      <c r="J23" s="8" t="str">
        <v>LOL4</v>
      </c>
      <c r="K23" s="4">
        <v>1</v>
      </c>
      <c r="L23" s="6">
        <f ca="1"/>
        <v>541</v>
      </c>
      <c r="M23" s="6">
        <f ca="1"/>
        <v>50.301238733669784</v>
      </c>
      <c r="N23">
        <f ca="1"/>
        <v>50.301238733669784</v>
      </c>
    </row>
    <row r="24" spans="1:14">
      <c r="A24" s="1" t="s">
        <v>90</v>
      </c>
      <c r="B24" s="1" t="s">
        <v>91</v>
      </c>
      <c r="C24" s="1" t="s">
        <v>58</v>
      </c>
      <c r="D24" s="2" t="s">
        <v>93</v>
      </c>
      <c r="E24" s="5">
        <v>1490</v>
      </c>
      <c r="F24" s="3">
        <v>35.6939010543162</v>
      </c>
      <c r="G24" t="s">
        <v>42</v>
      </c>
      <c r="I24" s="4">
        <v>13</v>
      </c>
      <c r="J24" s="8" t="str">
        <v>LOL5</v>
      </c>
      <c r="K24" s="4">
        <v>1</v>
      </c>
      <c r="L24" s="6">
        <f ca="1"/>
        <v>331</v>
      </c>
      <c r="M24" s="6">
        <f ca="1"/>
        <v>330.8302806529382</v>
      </c>
      <c r="N24">
        <f ca="1"/>
        <v>330.8302806529382</v>
      </c>
    </row>
    <row r="25" spans="1:14">
      <c r="A25" s="1" t="s">
        <v>90</v>
      </c>
      <c r="B25" s="1" t="s">
        <v>91</v>
      </c>
      <c r="C25" s="1" t="s">
        <v>58</v>
      </c>
      <c r="D25" s="2" t="s">
        <v>93</v>
      </c>
      <c r="E25" s="5">
        <v>1490</v>
      </c>
      <c r="F25" s="3">
        <v>35.6939010543162</v>
      </c>
      <c r="G25" t="s">
        <v>42</v>
      </c>
      <c r="I25" s="4">
        <v>14</v>
      </c>
      <c r="J25" s="8" t="str">
        <v>LOL6</v>
      </c>
      <c r="K25" s="4">
        <v>1</v>
      </c>
      <c r="L25" s="6">
        <f ca="1"/>
        <v>152</v>
      </c>
      <c r="M25" s="6">
        <f ca="1"/>
        <v>728.26481713559565</v>
      </c>
      <c r="N25">
        <f ca="1"/>
        <v>728.26481713559565</v>
      </c>
    </row>
    <row r="26" spans="1:14">
      <c r="A26" s="1" t="s">
        <v>90</v>
      </c>
      <c r="B26" s="1" t="s">
        <v>91</v>
      </c>
      <c r="C26" s="1" t="s">
        <v>58</v>
      </c>
      <c r="D26" s="2" t="s">
        <v>93</v>
      </c>
      <c r="E26" s="5">
        <v>1490</v>
      </c>
      <c r="F26" s="3">
        <v>35.6939010543162</v>
      </c>
      <c r="G26" t="s">
        <v>42</v>
      </c>
      <c r="I26" s="4">
        <v>15</v>
      </c>
      <c r="J26" s="8" t="str">
        <v>mfbeedsf kwrflgndi</v>
      </c>
      <c r="K26" s="4">
        <v>12</v>
      </c>
      <c r="L26" s="4">
        <f ca="1"/>
        <v>174</v>
      </c>
      <c r="M26" s="4">
        <f ca="1"/>
        <v>61.914222592969708</v>
      </c>
      <c r="N26">
        <f ca="1"/>
        <v>742.97067111563649</v>
      </c>
    </row>
    <row r="27" spans="1:14">
      <c r="A27" s="1" t="s">
        <v>90</v>
      </c>
      <c r="B27" s="1" t="s">
        <v>91</v>
      </c>
      <c r="C27" s="1" t="s">
        <v>58</v>
      </c>
      <c r="D27" s="2" t="s">
        <v>93</v>
      </c>
      <c r="E27" s="5">
        <v>1490</v>
      </c>
      <c r="F27" s="3">
        <v>35.6939010543162</v>
      </c>
      <c r="G27" t="s">
        <v>42</v>
      </c>
      <c r="I27" s="4">
        <v>16</v>
      </c>
      <c r="J27" s="8" t="str">
        <v>mfxi ywtgxau</v>
      </c>
      <c r="K27" s="4">
        <v>11</v>
      </c>
      <c r="L27" s="4">
        <f ca="1"/>
        <v>236</v>
      </c>
      <c r="M27" s="4">
        <f ca="1"/>
        <v>85.718505376408885</v>
      </c>
      <c r="N27">
        <f ca="1"/>
        <v>942.90355914049769</v>
      </c>
    </row>
    <row r="28" spans="1:14">
      <c r="A28" s="1" t="s">
        <v>90</v>
      </c>
      <c r="B28" s="1" t="s">
        <v>91</v>
      </c>
      <c r="C28" s="1" t="s">
        <v>58</v>
      </c>
      <c r="D28" s="2" t="s">
        <v>93</v>
      </c>
      <c r="E28" s="5">
        <v>1490</v>
      </c>
      <c r="F28" s="3">
        <v>35.6939010543162</v>
      </c>
      <c r="G28" t="s">
        <v>42</v>
      </c>
      <c r="I28" s="4">
        <v>17</v>
      </c>
      <c r="J28" s="8" t="str">
        <v>nafrz zamrqsrfub</v>
      </c>
      <c r="K28" s="4">
        <v>12</v>
      </c>
      <c r="L28" s="4">
        <f ca="1"/>
        <v>336</v>
      </c>
      <c r="M28" s="4">
        <f ca="1"/>
        <v>84.984148710225099</v>
      </c>
      <c r="N28">
        <f ca="1"/>
        <v>1019.8097845227012</v>
      </c>
    </row>
    <row r="29" spans="1:14">
      <c r="A29" s="1" t="s">
        <v>90</v>
      </c>
      <c r="B29" s="1" t="s">
        <v>91</v>
      </c>
      <c r="C29" s="1" t="s">
        <v>58</v>
      </c>
      <c r="D29" s="2" t="s">
        <v>93</v>
      </c>
      <c r="E29" s="5">
        <v>1490</v>
      </c>
      <c r="F29" s="3">
        <v>35.6939010543162</v>
      </c>
      <c r="G29" t="s">
        <v>42</v>
      </c>
      <c r="I29" s="4">
        <v>18</v>
      </c>
      <c r="J29" s="8" t="str">
        <v>olejlldtrqy ynswuyxjw</v>
      </c>
      <c r="K29" s="4">
        <v>23</v>
      </c>
      <c r="L29" s="4">
        <f ca="1"/>
        <v>1369.0434782608695</v>
      </c>
      <c r="M29" s="4">
        <f ca="1"/>
        <v>54.739573115681395</v>
      </c>
      <c r="N29">
        <f ca="1"/>
        <v>1259.0101816606721</v>
      </c>
    </row>
    <row r="30" spans="1:14">
      <c r="A30" s="1" t="s">
        <v>90</v>
      </c>
      <c r="B30" s="1" t="s">
        <v>91</v>
      </c>
      <c r="C30" s="1" t="s">
        <v>58</v>
      </c>
      <c r="D30" s="2" t="s">
        <v>93</v>
      </c>
      <c r="E30" s="5">
        <v>1490</v>
      </c>
      <c r="F30" s="3">
        <v>35.6939010543162</v>
      </c>
      <c r="G30" t="s">
        <v>42</v>
      </c>
      <c r="I30" s="4">
        <v>19</v>
      </c>
      <c r="J30" s="8" t="str">
        <v>uaxwsqsv epvgvqoqt</v>
      </c>
      <c r="K30" s="4">
        <v>20</v>
      </c>
      <c r="L30" s="4">
        <f ca="1"/>
        <v>1357</v>
      </c>
      <c r="M30" s="4">
        <f ca="1"/>
        <v>46.841650241897142</v>
      </c>
      <c r="N30">
        <f ca="1"/>
        <v>936.83300483794278</v>
      </c>
    </row>
    <row r="31" spans="1:14">
      <c r="A31" s="1" t="s">
        <v>90</v>
      </c>
      <c r="B31" s="1" t="s">
        <v>91</v>
      </c>
      <c r="C31" s="1" t="s">
        <v>58</v>
      </c>
      <c r="D31" s="2" t="s">
        <v>93</v>
      </c>
      <c r="E31" s="5">
        <v>1490</v>
      </c>
      <c r="F31" s="3">
        <v>35.6939010543162</v>
      </c>
      <c r="G31" t="s">
        <v>42</v>
      </c>
      <c r="I31" s="4">
        <v>20</v>
      </c>
      <c r="J31" s="8" t="str">
        <v>yngnevqqqxreo hvtztugcarjl</v>
      </c>
      <c r="K31" s="4">
        <v>15</v>
      </c>
      <c r="L31" s="4">
        <f ca="1"/>
        <v>990</v>
      </c>
      <c r="M31" s="4">
        <f ca="1"/>
        <v>92.698038873931196</v>
      </c>
      <c r="N31">
        <f ca="1"/>
        <v>1390.470583108968</v>
      </c>
    </row>
    <row r="32" spans="1:14">
      <c r="A32" s="1" t="s">
        <v>90</v>
      </c>
      <c r="B32" s="1" t="s">
        <v>91</v>
      </c>
      <c r="C32" s="1" t="s">
        <v>58</v>
      </c>
      <c r="D32" s="2" t="s">
        <v>93</v>
      </c>
      <c r="E32" s="5">
        <v>1490</v>
      </c>
      <c r="F32" s="3">
        <v>35.6939010543162</v>
      </c>
      <c r="G32" t="s">
        <v>42</v>
      </c>
    </row>
    <row r="33" spans="1:7">
      <c r="A33" s="1" t="s">
        <v>90</v>
      </c>
      <c r="B33" s="1" t="s">
        <v>91</v>
      </c>
      <c r="C33" s="1" t="s">
        <v>58</v>
      </c>
      <c r="D33" s="2" t="s">
        <v>93</v>
      </c>
      <c r="E33" s="5">
        <v>1490</v>
      </c>
      <c r="F33" s="3">
        <v>35.6939010543162</v>
      </c>
      <c r="G33" t="s">
        <v>42</v>
      </c>
    </row>
    <row r="34" spans="1:7">
      <c r="A34" s="1" t="s">
        <v>90</v>
      </c>
      <c r="B34" s="1" t="s">
        <v>91</v>
      </c>
      <c r="C34" s="1" t="s">
        <v>38</v>
      </c>
      <c r="D34" s="2" t="s">
        <v>122</v>
      </c>
      <c r="E34" s="5">
        <v>66</v>
      </c>
      <c r="F34" s="3">
        <v>48.586354567935402</v>
      </c>
      <c r="G34" t="s">
        <v>42</v>
      </c>
    </row>
    <row r="35" spans="1:7">
      <c r="A35" s="1" t="s">
        <v>90</v>
      </c>
      <c r="B35" s="1" t="s">
        <v>91</v>
      </c>
      <c r="C35" s="1" t="s">
        <v>38</v>
      </c>
      <c r="D35" s="2" t="s">
        <v>122</v>
      </c>
      <c r="E35" s="5">
        <v>66</v>
      </c>
      <c r="F35" s="3">
        <v>48.586354567935402</v>
      </c>
      <c r="G35" t="s">
        <v>42</v>
      </c>
    </row>
    <row r="36" spans="1:7">
      <c r="A36" s="1" t="s">
        <v>90</v>
      </c>
      <c r="B36" s="1" t="s">
        <v>91</v>
      </c>
      <c r="C36" s="1" t="s">
        <v>38</v>
      </c>
      <c r="D36" s="2" t="s">
        <v>122</v>
      </c>
      <c r="E36" s="5">
        <v>66</v>
      </c>
      <c r="F36" s="3">
        <v>48.586354567935402</v>
      </c>
      <c r="G36" t="s">
        <v>42</v>
      </c>
    </row>
    <row r="37" spans="1:7">
      <c r="A37" s="1" t="s">
        <v>90</v>
      </c>
      <c r="B37" s="1" t="s">
        <v>91</v>
      </c>
      <c r="C37" s="1" t="s">
        <v>38</v>
      </c>
      <c r="D37" s="2" t="s">
        <v>122</v>
      </c>
      <c r="E37" s="5">
        <v>66</v>
      </c>
      <c r="F37" s="3">
        <v>48.586354567935402</v>
      </c>
      <c r="G37" t="s">
        <v>42</v>
      </c>
    </row>
    <row r="38" spans="1:7">
      <c r="A38" s="1" t="s">
        <v>90</v>
      </c>
      <c r="B38" s="1" t="s">
        <v>91</v>
      </c>
      <c r="C38" s="1" t="s">
        <v>38</v>
      </c>
      <c r="D38" s="2" t="s">
        <v>122</v>
      </c>
      <c r="E38" s="5">
        <v>66</v>
      </c>
      <c r="F38" s="3">
        <v>48.586354567935402</v>
      </c>
      <c r="G38" t="s">
        <v>42</v>
      </c>
    </row>
    <row r="39" spans="1:7">
      <c r="A39" s="1" t="s">
        <v>138</v>
      </c>
      <c r="B39" s="1" t="s">
        <v>139</v>
      </c>
      <c r="C39" s="1" t="s">
        <v>70</v>
      </c>
      <c r="D39" s="2" t="s">
        <v>141</v>
      </c>
      <c r="E39" s="5">
        <v>764</v>
      </c>
      <c r="F39" s="3">
        <v>78.496035298454899</v>
      </c>
      <c r="G39" t="s">
        <v>49</v>
      </c>
    </row>
    <row r="40" spans="1:7">
      <c r="A40" s="1" t="s">
        <v>138</v>
      </c>
      <c r="B40" s="1" t="s">
        <v>139</v>
      </c>
      <c r="C40" s="1" t="s">
        <v>70</v>
      </c>
      <c r="D40" s="2" t="s">
        <v>141</v>
      </c>
      <c r="E40" s="5">
        <v>764</v>
      </c>
      <c r="F40" s="3">
        <v>78.496035298454899</v>
      </c>
      <c r="G40" t="s">
        <v>49</v>
      </c>
    </row>
    <row r="41" spans="1:7">
      <c r="A41" s="1" t="s">
        <v>138</v>
      </c>
      <c r="B41" s="1" t="s">
        <v>139</v>
      </c>
      <c r="C41" s="1" t="s">
        <v>70</v>
      </c>
      <c r="D41" s="2" t="s">
        <v>141</v>
      </c>
      <c r="E41" s="5">
        <v>764</v>
      </c>
      <c r="F41" s="3">
        <v>78.496035298454899</v>
      </c>
      <c r="G41" t="s">
        <v>49</v>
      </c>
    </row>
    <row r="42" spans="1:7">
      <c r="A42" s="1" t="s">
        <v>138</v>
      </c>
      <c r="B42" s="1" t="s">
        <v>139</v>
      </c>
      <c r="C42" s="1" t="s">
        <v>70</v>
      </c>
      <c r="D42" s="2" t="s">
        <v>141</v>
      </c>
      <c r="E42" s="5">
        <v>764</v>
      </c>
      <c r="F42" s="3">
        <v>78.496035298454899</v>
      </c>
      <c r="G42" t="s">
        <v>49</v>
      </c>
    </row>
    <row r="43" spans="1:7">
      <c r="A43" s="1" t="s">
        <v>138</v>
      </c>
      <c r="B43" s="1" t="s">
        <v>139</v>
      </c>
      <c r="C43" s="1" t="s">
        <v>70</v>
      </c>
      <c r="D43" s="2" t="s">
        <v>141</v>
      </c>
      <c r="E43" s="5">
        <v>764</v>
      </c>
      <c r="F43" s="3">
        <v>78.496035298454899</v>
      </c>
      <c r="G43" t="s">
        <v>49</v>
      </c>
    </row>
    <row r="44" spans="1:7">
      <c r="A44" s="1" t="s">
        <v>138</v>
      </c>
      <c r="B44" s="1" t="s">
        <v>139</v>
      </c>
      <c r="C44" s="1" t="s">
        <v>70</v>
      </c>
      <c r="D44" s="2" t="s">
        <v>141</v>
      </c>
      <c r="E44" s="5">
        <v>764</v>
      </c>
      <c r="F44" s="3">
        <v>78.496035298454899</v>
      </c>
      <c r="G44" t="s">
        <v>49</v>
      </c>
    </row>
    <row r="45" spans="1:7">
      <c r="A45" s="1" t="s">
        <v>138</v>
      </c>
      <c r="B45" s="1" t="s">
        <v>139</v>
      </c>
      <c r="C45" s="1" t="s">
        <v>70</v>
      </c>
      <c r="D45" s="2" t="s">
        <v>141</v>
      </c>
      <c r="E45" s="5">
        <v>764</v>
      </c>
      <c r="F45" s="3">
        <v>78.496035298454899</v>
      </c>
      <c r="G45" t="s">
        <v>49</v>
      </c>
    </row>
    <row r="46" spans="1:7">
      <c r="A46" s="1" t="s">
        <v>101</v>
      </c>
      <c r="B46" s="1" t="s">
        <v>102</v>
      </c>
      <c r="C46" s="1" t="s">
        <v>103</v>
      </c>
      <c r="D46" s="2" t="s">
        <v>104</v>
      </c>
      <c r="E46" s="5">
        <v>1254</v>
      </c>
      <c r="F46" s="3">
        <v>40.478311156058197</v>
      </c>
      <c r="G46" t="s">
        <v>42</v>
      </c>
    </row>
    <row r="47" spans="1:7">
      <c r="A47" s="1" t="s">
        <v>101</v>
      </c>
      <c r="B47" s="1" t="s">
        <v>102</v>
      </c>
      <c r="C47" s="1" t="s">
        <v>103</v>
      </c>
      <c r="D47" s="2" t="s">
        <v>104</v>
      </c>
      <c r="E47" s="5">
        <v>1254</v>
      </c>
      <c r="F47" s="3">
        <v>40.478311156058197</v>
      </c>
      <c r="G47" t="s">
        <v>42</v>
      </c>
    </row>
    <row r="48" spans="1:7">
      <c r="A48" s="1" t="s">
        <v>101</v>
      </c>
      <c r="B48" s="1" t="s">
        <v>102</v>
      </c>
      <c r="C48" s="1" t="s">
        <v>103</v>
      </c>
      <c r="D48" s="2" t="s">
        <v>104</v>
      </c>
      <c r="E48" s="5">
        <v>1254</v>
      </c>
      <c r="F48" s="3">
        <v>40.478311156058197</v>
      </c>
      <c r="G48" t="s">
        <v>42</v>
      </c>
    </row>
    <row r="49" spans="1:7">
      <c r="A49" s="1" t="s">
        <v>101</v>
      </c>
      <c r="B49" s="1" t="s">
        <v>102</v>
      </c>
      <c r="C49" s="1" t="s">
        <v>103</v>
      </c>
      <c r="D49" s="2" t="s">
        <v>104</v>
      </c>
      <c r="E49" s="5">
        <v>1254</v>
      </c>
      <c r="F49" s="3">
        <v>40.478311156058197</v>
      </c>
      <c r="G49" t="s">
        <v>42</v>
      </c>
    </row>
    <row r="50" spans="1:7">
      <c r="A50" s="1" t="s">
        <v>101</v>
      </c>
      <c r="B50" s="1" t="s">
        <v>102</v>
      </c>
      <c r="C50" s="1" t="s">
        <v>103</v>
      </c>
      <c r="D50" s="2" t="s">
        <v>104</v>
      </c>
      <c r="E50" s="5">
        <v>1254</v>
      </c>
      <c r="F50" s="3">
        <v>40.478311156058197</v>
      </c>
      <c r="G50" t="s">
        <v>42</v>
      </c>
    </row>
    <row r="51" spans="1:7">
      <c r="A51" s="1" t="s">
        <v>101</v>
      </c>
      <c r="B51" s="1" t="s">
        <v>102</v>
      </c>
      <c r="C51" s="1" t="s">
        <v>103</v>
      </c>
      <c r="D51" s="2" t="s">
        <v>104</v>
      </c>
      <c r="E51" s="5">
        <v>1254</v>
      </c>
      <c r="F51" s="3">
        <v>40.478311156058197</v>
      </c>
      <c r="G51" t="s">
        <v>42</v>
      </c>
    </row>
    <row r="52" spans="1:7">
      <c r="A52" s="1" t="s">
        <v>101</v>
      </c>
      <c r="B52" s="1" t="s">
        <v>102</v>
      </c>
      <c r="C52" s="1" t="s">
        <v>103</v>
      </c>
      <c r="D52" s="2" t="s">
        <v>104</v>
      </c>
      <c r="E52" s="5">
        <v>1254</v>
      </c>
      <c r="F52" s="3">
        <v>40.478311156058197</v>
      </c>
      <c r="G52" t="s">
        <v>42</v>
      </c>
    </row>
    <row r="53" spans="1:7">
      <c r="A53" s="1" t="s">
        <v>101</v>
      </c>
      <c r="B53" s="1" t="s">
        <v>102</v>
      </c>
      <c r="C53" s="1" t="s">
        <v>103</v>
      </c>
      <c r="D53" s="2" t="s">
        <v>104</v>
      </c>
      <c r="E53" s="5">
        <v>1254</v>
      </c>
      <c r="F53" s="3">
        <v>40.478311156058197</v>
      </c>
      <c r="G53" t="s">
        <v>42</v>
      </c>
    </row>
    <row r="54" spans="1:7">
      <c r="A54" s="1" t="s">
        <v>56</v>
      </c>
      <c r="B54" s="1" t="s">
        <v>57</v>
      </c>
      <c r="C54" s="1" t="s">
        <v>58</v>
      </c>
      <c r="D54" s="2" t="s">
        <v>59</v>
      </c>
      <c r="E54" s="7">
        <v>1968</v>
      </c>
      <c r="F54" s="3">
        <v>36.576362842088301</v>
      </c>
      <c r="G54" t="s">
        <v>49</v>
      </c>
    </row>
    <row r="55" spans="1:7">
      <c r="A55" s="1" t="s">
        <v>56</v>
      </c>
      <c r="B55" s="1" t="s">
        <v>57</v>
      </c>
      <c r="C55" s="1" t="s">
        <v>58</v>
      </c>
      <c r="D55" s="2" t="s">
        <v>59</v>
      </c>
      <c r="E55" s="7">
        <v>1968</v>
      </c>
      <c r="F55" s="3">
        <v>36.576362842088301</v>
      </c>
      <c r="G55" t="s">
        <v>49</v>
      </c>
    </row>
    <row r="56" spans="1:7">
      <c r="A56" s="1" t="s">
        <v>56</v>
      </c>
      <c r="B56" s="1" t="s">
        <v>57</v>
      </c>
      <c r="C56" s="1" t="s">
        <v>58</v>
      </c>
      <c r="D56" s="2" t="s">
        <v>59</v>
      </c>
      <c r="E56" s="7">
        <v>1968</v>
      </c>
      <c r="F56" s="3">
        <v>36.576362842088301</v>
      </c>
      <c r="G56" t="s">
        <v>49</v>
      </c>
    </row>
    <row r="57" spans="1:7">
      <c r="A57" s="1" t="s">
        <v>56</v>
      </c>
      <c r="B57" s="1" t="s">
        <v>57</v>
      </c>
      <c r="C57" s="1" t="s">
        <v>58</v>
      </c>
      <c r="D57" s="2" t="s">
        <v>59</v>
      </c>
      <c r="E57" s="7">
        <v>1968</v>
      </c>
      <c r="F57" s="3">
        <v>36.576362842088301</v>
      </c>
      <c r="G57" t="s">
        <v>49</v>
      </c>
    </row>
    <row r="58" spans="1:7">
      <c r="A58" s="1" t="s">
        <v>56</v>
      </c>
      <c r="B58" s="1" t="s">
        <v>57</v>
      </c>
      <c r="C58" s="1" t="s">
        <v>58</v>
      </c>
      <c r="D58" s="2" t="s">
        <v>59</v>
      </c>
      <c r="E58" s="7">
        <v>1968</v>
      </c>
      <c r="F58" s="3">
        <v>36.576362842088301</v>
      </c>
      <c r="G58" t="s">
        <v>49</v>
      </c>
    </row>
    <row r="59" spans="1:7">
      <c r="A59" s="1" t="s">
        <v>56</v>
      </c>
      <c r="B59" s="1" t="s">
        <v>57</v>
      </c>
      <c r="C59" s="1" t="s">
        <v>58</v>
      </c>
      <c r="D59" s="2" t="s">
        <v>59</v>
      </c>
      <c r="E59" s="7">
        <v>1968</v>
      </c>
      <c r="F59" s="3">
        <v>36.576362842088301</v>
      </c>
      <c r="G59" t="s">
        <v>49</v>
      </c>
    </row>
    <row r="60" spans="1:7">
      <c r="A60" s="1" t="s">
        <v>56</v>
      </c>
      <c r="B60" s="1" t="s">
        <v>57</v>
      </c>
      <c r="C60" s="1" t="s">
        <v>58</v>
      </c>
      <c r="D60" s="2" t="s">
        <v>59</v>
      </c>
      <c r="E60" s="7">
        <v>1968</v>
      </c>
      <c r="F60" s="3">
        <v>36.576362842088301</v>
      </c>
      <c r="G60" t="s">
        <v>49</v>
      </c>
    </row>
    <row r="61" spans="1:7">
      <c r="A61" s="1" t="s">
        <v>56</v>
      </c>
      <c r="B61" s="1" t="s">
        <v>57</v>
      </c>
      <c r="C61" s="1" t="s">
        <v>58</v>
      </c>
      <c r="D61" s="2" t="s">
        <v>59</v>
      </c>
      <c r="E61" s="7">
        <v>1968</v>
      </c>
      <c r="F61" s="3">
        <v>36.576362842088301</v>
      </c>
      <c r="G61" t="s">
        <v>49</v>
      </c>
    </row>
    <row r="62" spans="1:7">
      <c r="A62" s="1" t="s">
        <v>56</v>
      </c>
      <c r="B62" s="1" t="s">
        <v>57</v>
      </c>
      <c r="C62" s="1" t="s">
        <v>58</v>
      </c>
      <c r="D62" s="2" t="s">
        <v>59</v>
      </c>
      <c r="E62" s="7">
        <v>1968</v>
      </c>
      <c r="F62" s="3">
        <v>36.576362842088301</v>
      </c>
      <c r="G62" t="s">
        <v>49</v>
      </c>
    </row>
    <row r="63" spans="1:7">
      <c r="A63" s="1" t="s">
        <v>56</v>
      </c>
      <c r="B63" s="1" t="s">
        <v>57</v>
      </c>
      <c r="C63" s="1" t="s">
        <v>147</v>
      </c>
      <c r="D63" s="2" t="s">
        <v>108</v>
      </c>
      <c r="E63" s="7">
        <v>1384</v>
      </c>
      <c r="F63" s="3">
        <v>56.5813331522791</v>
      </c>
      <c r="G63" t="s">
        <v>42</v>
      </c>
    </row>
    <row r="64" spans="1:7">
      <c r="A64" s="1" t="s">
        <v>56</v>
      </c>
      <c r="B64" s="1" t="s">
        <v>57</v>
      </c>
      <c r="C64" s="1" t="s">
        <v>147</v>
      </c>
      <c r="D64" s="2" t="s">
        <v>108</v>
      </c>
      <c r="E64" s="7">
        <v>1384</v>
      </c>
      <c r="F64" s="3">
        <v>56.5813331522791</v>
      </c>
      <c r="G64" t="s">
        <v>42</v>
      </c>
    </row>
    <row r="65" spans="1:7">
      <c r="A65" s="1" t="s">
        <v>56</v>
      </c>
      <c r="B65" s="1" t="s">
        <v>57</v>
      </c>
      <c r="C65" s="1" t="s">
        <v>147</v>
      </c>
      <c r="D65" s="2" t="s">
        <v>108</v>
      </c>
      <c r="E65" s="7">
        <v>1384</v>
      </c>
      <c r="F65" s="3">
        <v>56.5813331522791</v>
      </c>
      <c r="G65" t="s">
        <v>42</v>
      </c>
    </row>
    <row r="66" spans="1:7">
      <c r="A66" s="1" t="s">
        <v>56</v>
      </c>
      <c r="B66" s="1" t="s">
        <v>57</v>
      </c>
      <c r="C66" s="1" t="s">
        <v>147</v>
      </c>
      <c r="D66" s="2" t="s">
        <v>108</v>
      </c>
      <c r="E66" s="7">
        <v>1384</v>
      </c>
      <c r="F66" s="3">
        <v>56.5813331522791</v>
      </c>
      <c r="G66" t="s">
        <v>42</v>
      </c>
    </row>
    <row r="67" spans="1:7">
      <c r="A67" s="1" t="s">
        <v>56</v>
      </c>
      <c r="B67" s="1" t="s">
        <v>57</v>
      </c>
      <c r="C67" s="1" t="s">
        <v>147</v>
      </c>
      <c r="D67" s="2" t="s">
        <v>108</v>
      </c>
      <c r="E67" s="7">
        <v>1384</v>
      </c>
      <c r="F67" s="3">
        <v>56.5813331522791</v>
      </c>
      <c r="G67" t="s">
        <v>42</v>
      </c>
    </row>
    <row r="68" spans="1:7">
      <c r="A68" s="1" t="s">
        <v>56</v>
      </c>
      <c r="B68" s="1" t="s">
        <v>57</v>
      </c>
      <c r="C68" s="1" t="s">
        <v>147</v>
      </c>
      <c r="D68" s="2" t="s">
        <v>108</v>
      </c>
      <c r="E68" s="7">
        <v>1384</v>
      </c>
      <c r="F68" s="3">
        <v>56.5813331522791</v>
      </c>
      <c r="G68" t="s">
        <v>42</v>
      </c>
    </row>
    <row r="69" spans="1:7">
      <c r="A69" s="1" t="s">
        <v>56</v>
      </c>
      <c r="B69" s="1" t="s">
        <v>57</v>
      </c>
      <c r="C69" s="1" t="s">
        <v>147</v>
      </c>
      <c r="D69" s="2" t="s">
        <v>108</v>
      </c>
      <c r="E69" s="7">
        <v>1384</v>
      </c>
      <c r="F69" s="3">
        <v>56.5813331522791</v>
      </c>
      <c r="G69" t="s">
        <v>42</v>
      </c>
    </row>
    <row r="70" spans="1:7">
      <c r="A70" s="1" t="s">
        <v>56</v>
      </c>
      <c r="B70" s="1" t="s">
        <v>57</v>
      </c>
      <c r="C70" s="1" t="s">
        <v>147</v>
      </c>
      <c r="D70" s="2" t="s">
        <v>108</v>
      </c>
      <c r="E70" s="7">
        <v>1384</v>
      </c>
      <c r="F70" s="3">
        <v>56.5813331522791</v>
      </c>
      <c r="G70" t="s">
        <v>42</v>
      </c>
    </row>
    <row r="71" spans="1:7">
      <c r="A71" s="1" t="s">
        <v>56</v>
      </c>
      <c r="B71" s="1" t="s">
        <v>57</v>
      </c>
      <c r="C71" s="1" t="s">
        <v>147</v>
      </c>
      <c r="D71" s="2" t="s">
        <v>108</v>
      </c>
      <c r="E71" s="7">
        <v>1384</v>
      </c>
      <c r="F71" s="3">
        <v>56.5813331522791</v>
      </c>
      <c r="G71" t="s">
        <v>42</v>
      </c>
    </row>
    <row r="72" spans="1:7">
      <c r="A72" s="1" t="s">
        <v>56</v>
      </c>
      <c r="B72" s="1" t="s">
        <v>57</v>
      </c>
      <c r="C72" s="1" t="s">
        <v>147</v>
      </c>
      <c r="D72" s="2" t="s">
        <v>108</v>
      </c>
      <c r="E72" s="7">
        <v>1384</v>
      </c>
      <c r="F72" s="3">
        <v>56.5813331522791</v>
      </c>
      <c r="G72" t="s">
        <v>42</v>
      </c>
    </row>
    <row r="73" spans="1:7">
      <c r="A73" s="1" t="s">
        <v>56</v>
      </c>
      <c r="B73" s="1" t="s">
        <v>57</v>
      </c>
      <c r="C73" s="1" t="s">
        <v>147</v>
      </c>
      <c r="D73" s="2" t="s">
        <v>108</v>
      </c>
      <c r="E73" s="7">
        <v>1384</v>
      </c>
      <c r="F73" s="3">
        <v>56.5813331522791</v>
      </c>
      <c r="G73" t="s">
        <v>42</v>
      </c>
    </row>
    <row r="74" spans="1:7">
      <c r="A74" s="1" t="s">
        <v>56</v>
      </c>
      <c r="B74" s="1" t="s">
        <v>57</v>
      </c>
      <c r="C74" s="1" t="s">
        <v>147</v>
      </c>
      <c r="D74" s="2" t="s">
        <v>108</v>
      </c>
      <c r="E74" s="7">
        <v>1384</v>
      </c>
      <c r="F74" s="3">
        <v>56.5813331522791</v>
      </c>
      <c r="G74" t="s">
        <v>42</v>
      </c>
    </row>
    <row r="75" spans="1:7">
      <c r="A75" s="1" t="s">
        <v>74</v>
      </c>
      <c r="B75" s="1" t="s">
        <v>75</v>
      </c>
      <c r="C75" s="1" t="s">
        <v>76</v>
      </c>
      <c r="D75" s="2" t="s">
        <v>77</v>
      </c>
      <c r="E75" s="5">
        <v>112</v>
      </c>
      <c r="F75" s="3">
        <v>37.364638582422103</v>
      </c>
      <c r="G75" t="s">
        <v>49</v>
      </c>
    </row>
    <row r="76" spans="1:7">
      <c r="A76" s="1" t="s">
        <v>74</v>
      </c>
      <c r="B76" s="1" t="s">
        <v>75</v>
      </c>
      <c r="C76" s="1" t="s">
        <v>76</v>
      </c>
      <c r="D76" s="2" t="s">
        <v>77</v>
      </c>
      <c r="E76" s="5">
        <v>112</v>
      </c>
      <c r="F76" s="3">
        <v>37.364638582422103</v>
      </c>
      <c r="G76" t="s">
        <v>49</v>
      </c>
    </row>
    <row r="77" spans="1:7">
      <c r="A77" s="1" t="s">
        <v>74</v>
      </c>
      <c r="B77" s="1" t="s">
        <v>75</v>
      </c>
      <c r="C77" s="1" t="s">
        <v>76</v>
      </c>
      <c r="D77" s="2" t="s">
        <v>77</v>
      </c>
      <c r="E77" s="5">
        <v>112</v>
      </c>
      <c r="F77" s="3">
        <v>37.364638582422103</v>
      </c>
      <c r="G77" t="s">
        <v>49</v>
      </c>
    </row>
    <row r="78" spans="1:7">
      <c r="A78" s="1" t="s">
        <v>74</v>
      </c>
      <c r="B78" s="1" t="s">
        <v>75</v>
      </c>
      <c r="C78" s="1" t="s">
        <v>76</v>
      </c>
      <c r="D78" s="2" t="s">
        <v>77</v>
      </c>
      <c r="E78" s="5">
        <v>112</v>
      </c>
      <c r="F78" s="3">
        <v>37.364638582422103</v>
      </c>
      <c r="G78" t="s">
        <v>49</v>
      </c>
    </row>
    <row r="79" spans="1:7">
      <c r="A79" s="1" t="s">
        <v>74</v>
      </c>
      <c r="B79" s="1" t="s">
        <v>75</v>
      </c>
      <c r="C79" s="1" t="s">
        <v>76</v>
      </c>
      <c r="D79" s="2" t="s">
        <v>77</v>
      </c>
      <c r="E79" s="5">
        <v>112</v>
      </c>
      <c r="F79" s="3">
        <v>37.364638582422103</v>
      </c>
      <c r="G79" t="s">
        <v>49</v>
      </c>
    </row>
    <row r="80" spans="1:7">
      <c r="A80" s="1" t="s">
        <v>74</v>
      </c>
      <c r="B80" s="1" t="s">
        <v>75</v>
      </c>
      <c r="C80" s="1" t="s">
        <v>76</v>
      </c>
      <c r="D80" s="2" t="s">
        <v>77</v>
      </c>
      <c r="E80" s="5">
        <v>112</v>
      </c>
      <c r="F80" s="3">
        <v>37.364638582422103</v>
      </c>
      <c r="G80" t="s">
        <v>49</v>
      </c>
    </row>
    <row r="81" spans="1:7">
      <c r="A81" s="1" t="s">
        <v>74</v>
      </c>
      <c r="B81" s="1" t="s">
        <v>75</v>
      </c>
      <c r="C81" s="1" t="s">
        <v>76</v>
      </c>
      <c r="D81" s="2" t="s">
        <v>77</v>
      </c>
      <c r="E81" s="5">
        <v>112</v>
      </c>
      <c r="F81" s="3">
        <v>37.364638582422103</v>
      </c>
      <c r="G81" t="s">
        <v>49</v>
      </c>
    </row>
    <row r="82" spans="1:7">
      <c r="A82" s="1" t="s">
        <v>74</v>
      </c>
      <c r="B82" s="1" t="s">
        <v>75</v>
      </c>
      <c r="C82" s="1" t="s">
        <v>76</v>
      </c>
      <c r="D82" s="2" t="s">
        <v>77</v>
      </c>
      <c r="E82" s="5">
        <v>112</v>
      </c>
      <c r="F82" s="3">
        <v>37.364638582422103</v>
      </c>
      <c r="G82" t="s">
        <v>49</v>
      </c>
    </row>
    <row r="83" spans="1:7">
      <c r="A83" s="1" t="s">
        <v>74</v>
      </c>
      <c r="B83" s="1" t="s">
        <v>75</v>
      </c>
      <c r="C83" s="1" t="s">
        <v>150</v>
      </c>
      <c r="D83" s="2" t="s">
        <v>135</v>
      </c>
      <c r="E83" s="5">
        <v>832</v>
      </c>
      <c r="F83" s="3">
        <v>42.398616879977702</v>
      </c>
      <c r="G83" t="s">
        <v>42</v>
      </c>
    </row>
    <row r="84" spans="1:7">
      <c r="A84" s="1" t="s">
        <v>74</v>
      </c>
      <c r="B84" s="1" t="s">
        <v>75</v>
      </c>
      <c r="C84" s="1" t="s">
        <v>150</v>
      </c>
      <c r="D84" s="2" t="s">
        <v>135</v>
      </c>
      <c r="E84" s="5">
        <v>832</v>
      </c>
      <c r="F84" s="3">
        <v>42.398616879977702</v>
      </c>
      <c r="G84" t="s">
        <v>42</v>
      </c>
    </row>
    <row r="85" spans="1:7">
      <c r="A85" s="1" t="s">
        <v>74</v>
      </c>
      <c r="B85" s="1" t="s">
        <v>75</v>
      </c>
      <c r="C85" s="1" t="s">
        <v>150</v>
      </c>
      <c r="D85" s="2" t="s">
        <v>135</v>
      </c>
      <c r="E85" s="5">
        <v>832</v>
      </c>
      <c r="F85" s="3">
        <v>42.398616879977702</v>
      </c>
      <c r="G85" t="s">
        <v>42</v>
      </c>
    </row>
    <row r="86" spans="1:7">
      <c r="A86" s="1" t="s">
        <v>74</v>
      </c>
      <c r="B86" s="1" t="s">
        <v>75</v>
      </c>
      <c r="C86" s="1" t="s">
        <v>150</v>
      </c>
      <c r="D86" s="2" t="s">
        <v>135</v>
      </c>
      <c r="E86" s="5">
        <v>832</v>
      </c>
      <c r="F86" s="3">
        <v>42.398616879977702</v>
      </c>
      <c r="G86" t="s">
        <v>42</v>
      </c>
    </row>
    <row r="87" spans="1:7">
      <c r="A87" s="1" t="s">
        <v>74</v>
      </c>
      <c r="B87" s="1" t="s">
        <v>75</v>
      </c>
      <c r="C87" s="1" t="s">
        <v>150</v>
      </c>
      <c r="D87" s="2" t="s">
        <v>135</v>
      </c>
      <c r="E87" s="5">
        <v>832</v>
      </c>
      <c r="F87" s="3">
        <v>42.398616879977702</v>
      </c>
      <c r="G87" t="s">
        <v>42</v>
      </c>
    </row>
    <row r="88" spans="1:7">
      <c r="A88" s="1" t="s">
        <v>74</v>
      </c>
      <c r="B88" s="1" t="s">
        <v>75</v>
      </c>
      <c r="C88" s="1" t="s">
        <v>150</v>
      </c>
      <c r="D88" s="2" t="s">
        <v>135</v>
      </c>
      <c r="E88" s="5">
        <v>832</v>
      </c>
      <c r="F88" s="3">
        <v>42.398616879977702</v>
      </c>
      <c r="G88" t="s">
        <v>42</v>
      </c>
    </row>
    <row r="89" spans="1:7">
      <c r="A89" s="1" t="s">
        <v>74</v>
      </c>
      <c r="B89" s="1" t="s">
        <v>75</v>
      </c>
      <c r="C89" s="1" t="s">
        <v>150</v>
      </c>
      <c r="D89" s="2" t="s">
        <v>135</v>
      </c>
      <c r="E89" s="5">
        <v>832</v>
      </c>
      <c r="F89" s="3">
        <v>42.398616879977702</v>
      </c>
      <c r="G89" t="s">
        <v>42</v>
      </c>
    </row>
    <row r="90" spans="1:7">
      <c r="A90" s="1" t="s">
        <v>74</v>
      </c>
      <c r="B90" s="1" t="s">
        <v>75</v>
      </c>
      <c r="C90" s="1" t="s">
        <v>150</v>
      </c>
      <c r="D90" s="2" t="s">
        <v>135</v>
      </c>
      <c r="E90" s="5">
        <v>832</v>
      </c>
      <c r="F90" s="3">
        <v>42.398616879977702</v>
      </c>
      <c r="G90" t="s">
        <v>42</v>
      </c>
    </row>
    <row r="91" spans="1:7">
      <c r="A91" s="1" t="s">
        <v>74</v>
      </c>
      <c r="B91" s="1" t="s">
        <v>75</v>
      </c>
      <c r="C91" s="1" t="s">
        <v>149</v>
      </c>
      <c r="D91" s="2" t="s">
        <v>126</v>
      </c>
      <c r="E91" s="5">
        <v>440</v>
      </c>
      <c r="F91" s="3">
        <v>65.256364919036599</v>
      </c>
      <c r="G91" t="s">
        <v>49</v>
      </c>
    </row>
    <row r="92" spans="1:7">
      <c r="A92" s="1" t="s">
        <v>74</v>
      </c>
      <c r="B92" s="1" t="s">
        <v>75</v>
      </c>
      <c r="C92" s="1" t="s">
        <v>149</v>
      </c>
      <c r="D92" s="2" t="s">
        <v>126</v>
      </c>
      <c r="E92" s="5">
        <v>440</v>
      </c>
      <c r="F92" s="3">
        <v>65.256364919036599</v>
      </c>
      <c r="G92" t="s">
        <v>49</v>
      </c>
    </row>
    <row r="93" spans="1:7">
      <c r="A93" s="1" t="s">
        <v>74</v>
      </c>
      <c r="B93" s="1" t="s">
        <v>75</v>
      </c>
      <c r="C93" s="1" t="s">
        <v>149</v>
      </c>
      <c r="D93" s="2" t="s">
        <v>126</v>
      </c>
      <c r="E93" s="5">
        <v>440</v>
      </c>
      <c r="F93" s="3">
        <v>65.256364919036599</v>
      </c>
      <c r="G93" t="s">
        <v>49</v>
      </c>
    </row>
    <row r="94" spans="1:7">
      <c r="A94" s="1" t="s">
        <v>74</v>
      </c>
      <c r="B94" s="1" t="s">
        <v>75</v>
      </c>
      <c r="C94" s="1" t="s">
        <v>149</v>
      </c>
      <c r="D94" s="2" t="s">
        <v>126</v>
      </c>
      <c r="E94" s="5">
        <v>440</v>
      </c>
      <c r="F94" s="3">
        <v>65.256364919036599</v>
      </c>
      <c r="G94" t="s">
        <v>49</v>
      </c>
    </row>
    <row r="95" spans="1:7">
      <c r="A95" s="1" t="s">
        <v>74</v>
      </c>
      <c r="B95" s="1" t="s">
        <v>75</v>
      </c>
      <c r="C95" s="1" t="s">
        <v>149</v>
      </c>
      <c r="D95" s="2" t="s">
        <v>126</v>
      </c>
      <c r="E95" s="5">
        <v>440</v>
      </c>
      <c r="F95" s="3">
        <v>65.256364919036599</v>
      </c>
      <c r="G95" t="s">
        <v>49</v>
      </c>
    </row>
    <row r="96" spans="1:7">
      <c r="A96" s="1" t="s">
        <v>74</v>
      </c>
      <c r="B96" s="1" t="s">
        <v>75</v>
      </c>
      <c r="C96" s="1" t="s">
        <v>149</v>
      </c>
      <c r="D96" s="2" t="s">
        <v>126</v>
      </c>
      <c r="E96" s="5">
        <v>440</v>
      </c>
      <c r="F96" s="3">
        <v>65.256364919036599</v>
      </c>
      <c r="G96" t="s">
        <v>49</v>
      </c>
    </row>
    <row r="97" spans="1:7">
      <c r="A97" s="1" t="s">
        <v>74</v>
      </c>
      <c r="B97" s="1" t="s">
        <v>75</v>
      </c>
      <c r="C97" s="1" t="s">
        <v>149</v>
      </c>
      <c r="D97" s="2" t="s">
        <v>126</v>
      </c>
      <c r="E97" s="5">
        <v>440</v>
      </c>
      <c r="F97" s="3">
        <v>65.256364919036599</v>
      </c>
      <c r="G97" t="s">
        <v>49</v>
      </c>
    </row>
    <row r="98" spans="1:7">
      <c r="A98" s="1" t="s">
        <v>111</v>
      </c>
      <c r="B98" s="1" t="s">
        <v>112</v>
      </c>
      <c r="C98" s="1" t="s">
        <v>148</v>
      </c>
      <c r="D98" s="2" t="s">
        <v>114</v>
      </c>
      <c r="E98" s="5">
        <v>798</v>
      </c>
      <c r="F98" s="3">
        <v>80.501779771107394</v>
      </c>
      <c r="G98" t="s">
        <v>42</v>
      </c>
    </row>
    <row r="99" spans="1:7">
      <c r="A99" s="1" t="s">
        <v>111</v>
      </c>
      <c r="B99" s="1" t="s">
        <v>112</v>
      </c>
      <c r="C99" s="1" t="s">
        <v>148</v>
      </c>
      <c r="D99" s="2" t="s">
        <v>114</v>
      </c>
      <c r="E99" s="5">
        <v>798</v>
      </c>
      <c r="F99" s="3">
        <v>80.501779771107394</v>
      </c>
      <c r="G99" t="s">
        <v>42</v>
      </c>
    </row>
    <row r="100" spans="1:7">
      <c r="A100" s="1" t="s">
        <v>111</v>
      </c>
      <c r="B100" s="1" t="s">
        <v>112</v>
      </c>
      <c r="C100" s="1" t="s">
        <v>148</v>
      </c>
      <c r="D100" s="2" t="s">
        <v>114</v>
      </c>
      <c r="E100" s="5">
        <v>798</v>
      </c>
      <c r="F100" s="3">
        <v>80.501779771107394</v>
      </c>
      <c r="G100" t="s">
        <v>42</v>
      </c>
    </row>
    <row r="101" spans="1:7">
      <c r="A101" s="1" t="s">
        <v>111</v>
      </c>
      <c r="B101" s="1" t="s">
        <v>112</v>
      </c>
      <c r="C101" s="1" t="s">
        <v>148</v>
      </c>
      <c r="D101" s="2" t="s">
        <v>114</v>
      </c>
      <c r="E101" s="5">
        <v>798</v>
      </c>
      <c r="F101" s="3">
        <v>80.501779771107394</v>
      </c>
      <c r="G101" t="s">
        <v>42</v>
      </c>
    </row>
    <row r="102" spans="1:7">
      <c r="A102" s="1" t="s">
        <v>111</v>
      </c>
      <c r="B102" s="1" t="s">
        <v>112</v>
      </c>
      <c r="C102" s="1" t="s">
        <v>148</v>
      </c>
      <c r="D102" s="2" t="s">
        <v>114</v>
      </c>
      <c r="E102" s="5">
        <v>798</v>
      </c>
      <c r="F102" s="3">
        <v>80.501779771107394</v>
      </c>
      <c r="G102" t="s">
        <v>42</v>
      </c>
    </row>
    <row r="103" spans="1:7">
      <c r="A103" s="1" t="s">
        <v>111</v>
      </c>
      <c r="B103" s="1" t="s">
        <v>112</v>
      </c>
      <c r="C103" s="1" t="s">
        <v>148</v>
      </c>
      <c r="D103" s="2" t="s">
        <v>114</v>
      </c>
      <c r="E103" s="5">
        <v>798</v>
      </c>
      <c r="F103" s="3">
        <v>80.501779771107394</v>
      </c>
      <c r="G103" t="s">
        <v>42</v>
      </c>
    </row>
    <row r="104" spans="1:7">
      <c r="A104" s="1" t="s">
        <v>111</v>
      </c>
      <c r="B104" s="1" t="s">
        <v>112</v>
      </c>
      <c r="C104" s="1" t="s">
        <v>148</v>
      </c>
      <c r="D104" s="2" t="s">
        <v>114</v>
      </c>
      <c r="E104" s="5">
        <v>798</v>
      </c>
      <c r="F104" s="3">
        <v>80.501779771107394</v>
      </c>
      <c r="G104" t="s">
        <v>42</v>
      </c>
    </row>
    <row r="105" spans="1:7">
      <c r="A105" s="1" t="s">
        <v>111</v>
      </c>
      <c r="B105" s="1" t="s">
        <v>112</v>
      </c>
      <c r="C105" s="1" t="s">
        <v>148</v>
      </c>
      <c r="D105" s="2" t="s">
        <v>114</v>
      </c>
      <c r="E105" s="5">
        <v>798</v>
      </c>
      <c r="F105" s="3">
        <v>80.501779771107394</v>
      </c>
      <c r="G105" t="s">
        <v>42</v>
      </c>
    </row>
    <row r="106" spans="1:7">
      <c r="A106" s="1" t="s">
        <v>111</v>
      </c>
      <c r="B106" s="1" t="s">
        <v>112</v>
      </c>
      <c r="C106" s="1" t="s">
        <v>148</v>
      </c>
      <c r="D106" s="2" t="s">
        <v>114</v>
      </c>
      <c r="E106" s="5">
        <v>798</v>
      </c>
      <c r="F106" s="3">
        <v>80.501779771107394</v>
      </c>
      <c r="G106" t="s">
        <v>42</v>
      </c>
    </row>
    <row r="107" spans="1:7">
      <c r="A107" s="1" t="s">
        <v>111</v>
      </c>
      <c r="B107" s="1" t="s">
        <v>112</v>
      </c>
      <c r="C107" s="1" t="s">
        <v>148</v>
      </c>
      <c r="D107" s="2" t="s">
        <v>114</v>
      </c>
      <c r="E107" s="5">
        <v>798</v>
      </c>
      <c r="F107" s="3">
        <v>80.501779771107394</v>
      </c>
      <c r="G107" t="s">
        <v>42</v>
      </c>
    </row>
    <row r="108" spans="1:7">
      <c r="A108" s="1" t="s">
        <v>111</v>
      </c>
      <c r="B108" s="1" t="s">
        <v>112</v>
      </c>
      <c r="C108" s="1" t="s">
        <v>148</v>
      </c>
      <c r="D108" s="2" t="s">
        <v>114</v>
      </c>
      <c r="E108" s="5">
        <v>798</v>
      </c>
      <c r="F108" s="3">
        <v>80.501779771107394</v>
      </c>
      <c r="G108" t="s">
        <v>42</v>
      </c>
    </row>
    <row r="109" spans="1:7">
      <c r="A109" s="1" t="s">
        <v>160</v>
      </c>
      <c r="B109" s="1" t="s">
        <v>173</v>
      </c>
      <c r="C109" s="1" t="s">
        <v>147</v>
      </c>
      <c r="D109" s="2" t="s">
        <v>180</v>
      </c>
      <c r="E109" s="5">
        <f ca="1">RANDBETWEEN(0,1000)</f>
        <v>571</v>
      </c>
      <c r="F109" s="3">
        <f ca="1">RAND()*RANDBETWEEN(0,1000)</f>
        <v>293.52257125363968</v>
      </c>
      <c r="G109" t="str">
        <f ca="1">IF(RAND()&lt;0.5,"True","False")</f>
        <v>False</v>
      </c>
    </row>
    <row r="110" spans="1:7">
      <c r="A110" s="1" t="s">
        <v>161</v>
      </c>
      <c r="B110" s="1" t="s">
        <v>174</v>
      </c>
      <c r="C110" s="1" t="s">
        <v>52</v>
      </c>
      <c r="D110" s="2" t="s">
        <v>98</v>
      </c>
      <c r="E110" s="5">
        <f t="shared" ref="E110:E114" ca="1" si="0">RANDBETWEEN(0,1000)</f>
        <v>319</v>
      </c>
      <c r="F110" s="3">
        <f t="shared" ref="F110:F113" ca="1" si="1">RAND()*RANDBETWEEN(0,1000)</f>
        <v>200.58660222955638</v>
      </c>
      <c r="G110" t="str">
        <f t="shared" ref="G110:G114" ca="1" si="2">IF(RAND()&lt;0.5,"True","False")</f>
        <v>True</v>
      </c>
    </row>
    <row r="111" spans="1:7">
      <c r="A111" s="1" t="s">
        <v>158</v>
      </c>
      <c r="B111" s="1" t="s">
        <v>175</v>
      </c>
      <c r="C111" s="1" t="s">
        <v>179</v>
      </c>
      <c r="D111" s="2" t="s">
        <v>181</v>
      </c>
      <c r="E111" s="5">
        <f t="shared" ca="1" si="0"/>
        <v>41</v>
      </c>
      <c r="F111" s="3">
        <f t="shared" ca="1" si="1"/>
        <v>233.75762794535186</v>
      </c>
      <c r="G111" t="str">
        <f t="shared" ca="1" si="2"/>
        <v>True</v>
      </c>
    </row>
    <row r="112" spans="1:7">
      <c r="A112" s="1" t="s">
        <v>159</v>
      </c>
      <c r="B112" s="1" t="s">
        <v>176</v>
      </c>
      <c r="C112" s="1" t="s">
        <v>38</v>
      </c>
      <c r="D112" s="2" t="s">
        <v>182</v>
      </c>
      <c r="E112" s="5">
        <f t="shared" ca="1" si="0"/>
        <v>541</v>
      </c>
      <c r="F112" s="3">
        <f t="shared" ca="1" si="1"/>
        <v>50.301238733669784</v>
      </c>
      <c r="G112" t="str">
        <f t="shared" ca="1" si="2"/>
        <v>False</v>
      </c>
    </row>
    <row r="113" spans="1:7">
      <c r="A113" s="1" t="s">
        <v>162</v>
      </c>
      <c r="B113" s="1" t="s">
        <v>177</v>
      </c>
      <c r="C113" s="1" t="s">
        <v>117</v>
      </c>
      <c r="D113" s="2" t="s">
        <v>183</v>
      </c>
      <c r="E113" s="5">
        <f t="shared" ca="1" si="0"/>
        <v>331</v>
      </c>
      <c r="F113" s="3">
        <f t="shared" ca="1" si="1"/>
        <v>330.8302806529382</v>
      </c>
      <c r="G113" t="str">
        <f t="shared" ca="1" si="2"/>
        <v>False</v>
      </c>
    </row>
    <row r="114" spans="1:7">
      <c r="A114" s="1" t="s">
        <v>163</v>
      </c>
      <c r="B114" s="1" t="s">
        <v>178</v>
      </c>
      <c r="C114" s="1" t="s">
        <v>82</v>
      </c>
      <c r="D114" s="2" t="s">
        <v>184</v>
      </c>
      <c r="E114" s="5">
        <f t="shared" ca="1" si="0"/>
        <v>152</v>
      </c>
      <c r="F114" s="3">
        <v>728.26481713559565</v>
      </c>
      <c r="G114" t="str">
        <f t="shared" ca="1" si="2"/>
        <v>True</v>
      </c>
    </row>
    <row r="115" spans="1:7">
      <c r="A115" s="1" t="s">
        <v>96</v>
      </c>
      <c r="B115" s="1" t="s">
        <v>97</v>
      </c>
      <c r="C115" s="1" t="s">
        <v>58</v>
      </c>
      <c r="D115" s="2" t="s">
        <v>98</v>
      </c>
      <c r="E115" s="5">
        <v>174</v>
      </c>
      <c r="F115" s="3">
        <v>61.914222592969701</v>
      </c>
      <c r="G115" t="s">
        <v>42</v>
      </c>
    </row>
    <row r="116" spans="1:7">
      <c r="A116" s="1" t="s">
        <v>96</v>
      </c>
      <c r="B116" s="1" t="s">
        <v>97</v>
      </c>
      <c r="C116" s="1" t="s">
        <v>58</v>
      </c>
      <c r="D116" s="2" t="s">
        <v>98</v>
      </c>
      <c r="E116" s="5">
        <v>174</v>
      </c>
      <c r="F116" s="3">
        <v>61.914222592969701</v>
      </c>
      <c r="G116" t="s">
        <v>42</v>
      </c>
    </row>
    <row r="117" spans="1:7">
      <c r="A117" s="1" t="s">
        <v>96</v>
      </c>
      <c r="B117" s="1" t="s">
        <v>97</v>
      </c>
      <c r="C117" s="1" t="s">
        <v>58</v>
      </c>
      <c r="D117" s="2" t="s">
        <v>98</v>
      </c>
      <c r="E117" s="5">
        <v>174</v>
      </c>
      <c r="F117" s="3">
        <v>61.914222592969701</v>
      </c>
      <c r="G117" t="s">
        <v>42</v>
      </c>
    </row>
    <row r="118" spans="1:7">
      <c r="A118" s="1" t="s">
        <v>96</v>
      </c>
      <c r="B118" s="1" t="s">
        <v>97</v>
      </c>
      <c r="C118" s="1" t="s">
        <v>58</v>
      </c>
      <c r="D118" s="2" t="s">
        <v>98</v>
      </c>
      <c r="E118" s="5">
        <v>174</v>
      </c>
      <c r="F118" s="3">
        <v>61.914222592969701</v>
      </c>
      <c r="G118" t="s">
        <v>42</v>
      </c>
    </row>
    <row r="119" spans="1:7">
      <c r="A119" s="1" t="s">
        <v>96</v>
      </c>
      <c r="B119" s="1" t="s">
        <v>97</v>
      </c>
      <c r="C119" s="1" t="s">
        <v>58</v>
      </c>
      <c r="D119" s="2" t="s">
        <v>98</v>
      </c>
      <c r="E119" s="5">
        <v>174</v>
      </c>
      <c r="F119" s="3">
        <v>61.914222592969701</v>
      </c>
      <c r="G119" t="s">
        <v>42</v>
      </c>
    </row>
    <row r="120" spans="1:7">
      <c r="A120" s="1" t="s">
        <v>96</v>
      </c>
      <c r="B120" s="1" t="s">
        <v>97</v>
      </c>
      <c r="C120" s="1" t="s">
        <v>58</v>
      </c>
      <c r="D120" s="2" t="s">
        <v>98</v>
      </c>
      <c r="E120" s="5">
        <v>174</v>
      </c>
      <c r="F120" s="3">
        <v>61.914222592969701</v>
      </c>
      <c r="G120" t="s">
        <v>42</v>
      </c>
    </row>
    <row r="121" spans="1:7">
      <c r="A121" s="1" t="s">
        <v>96</v>
      </c>
      <c r="B121" s="1" t="s">
        <v>97</v>
      </c>
      <c r="C121" s="1" t="s">
        <v>58</v>
      </c>
      <c r="D121" s="2" t="s">
        <v>98</v>
      </c>
      <c r="E121" s="5">
        <v>174</v>
      </c>
      <c r="F121" s="3">
        <v>61.914222592969701</v>
      </c>
      <c r="G121" t="s">
        <v>42</v>
      </c>
    </row>
    <row r="122" spans="1:7">
      <c r="A122" s="1" t="s">
        <v>96</v>
      </c>
      <c r="B122" s="1" t="s">
        <v>97</v>
      </c>
      <c r="C122" s="1" t="s">
        <v>58</v>
      </c>
      <c r="D122" s="2" t="s">
        <v>98</v>
      </c>
      <c r="E122" s="5">
        <v>174</v>
      </c>
      <c r="F122" s="3">
        <v>61.914222592969701</v>
      </c>
      <c r="G122" t="s">
        <v>42</v>
      </c>
    </row>
    <row r="123" spans="1:7">
      <c r="A123" s="1" t="s">
        <v>96</v>
      </c>
      <c r="B123" s="1" t="s">
        <v>97</v>
      </c>
      <c r="C123" s="1" t="s">
        <v>58</v>
      </c>
      <c r="D123" s="2" t="s">
        <v>98</v>
      </c>
      <c r="E123" s="5">
        <v>174</v>
      </c>
      <c r="F123" s="3">
        <v>61.914222592969701</v>
      </c>
      <c r="G123" t="s">
        <v>42</v>
      </c>
    </row>
    <row r="124" spans="1:7">
      <c r="A124" s="1" t="s">
        <v>96</v>
      </c>
      <c r="B124" s="1" t="s">
        <v>97</v>
      </c>
      <c r="C124" s="1" t="s">
        <v>58</v>
      </c>
      <c r="D124" s="2" t="s">
        <v>98</v>
      </c>
      <c r="E124" s="5">
        <v>174</v>
      </c>
      <c r="F124" s="3">
        <v>61.914222592969701</v>
      </c>
      <c r="G124" t="s">
        <v>42</v>
      </c>
    </row>
    <row r="125" spans="1:7">
      <c r="A125" s="1" t="s">
        <v>96</v>
      </c>
      <c r="B125" s="1" t="s">
        <v>97</v>
      </c>
      <c r="C125" s="1" t="s">
        <v>58</v>
      </c>
      <c r="D125" s="2" t="s">
        <v>98</v>
      </c>
      <c r="E125" s="5">
        <v>174</v>
      </c>
      <c r="F125" s="3">
        <v>61.914222592969701</v>
      </c>
      <c r="G125" t="s">
        <v>42</v>
      </c>
    </row>
    <row r="126" spans="1:7">
      <c r="A126" s="1" t="s">
        <v>96</v>
      </c>
      <c r="B126" s="1" t="s">
        <v>97</v>
      </c>
      <c r="C126" s="1" t="s">
        <v>58</v>
      </c>
      <c r="D126" s="2" t="s">
        <v>98</v>
      </c>
      <c r="E126" s="5">
        <v>174</v>
      </c>
      <c r="F126" s="3">
        <v>61.914222592969701</v>
      </c>
      <c r="G126" t="s">
        <v>42</v>
      </c>
    </row>
    <row r="127" spans="1:7">
      <c r="A127" s="1" t="s">
        <v>50</v>
      </c>
      <c r="B127" s="1" t="s">
        <v>51</v>
      </c>
      <c r="C127" s="1" t="s">
        <v>52</v>
      </c>
      <c r="D127" s="2" t="s">
        <v>53</v>
      </c>
      <c r="E127" s="5">
        <v>236</v>
      </c>
      <c r="F127" s="3">
        <v>85.718505376408899</v>
      </c>
      <c r="G127" t="s">
        <v>42</v>
      </c>
    </row>
    <row r="128" spans="1:7">
      <c r="A128" s="1" t="s">
        <v>50</v>
      </c>
      <c r="B128" s="1" t="s">
        <v>51</v>
      </c>
      <c r="C128" s="1" t="s">
        <v>52</v>
      </c>
      <c r="D128" s="2" t="s">
        <v>53</v>
      </c>
      <c r="E128" s="5">
        <v>236</v>
      </c>
      <c r="F128" s="3">
        <v>85.718505376408899</v>
      </c>
      <c r="G128" t="s">
        <v>42</v>
      </c>
    </row>
    <row r="129" spans="1:7">
      <c r="A129" s="1" t="s">
        <v>50</v>
      </c>
      <c r="B129" s="1" t="s">
        <v>51</v>
      </c>
      <c r="C129" s="1" t="s">
        <v>52</v>
      </c>
      <c r="D129" s="2" t="s">
        <v>53</v>
      </c>
      <c r="E129" s="5">
        <v>236</v>
      </c>
      <c r="F129" s="3">
        <v>85.718505376408899</v>
      </c>
      <c r="G129" t="s">
        <v>42</v>
      </c>
    </row>
    <row r="130" spans="1:7">
      <c r="A130" s="1" t="s">
        <v>50</v>
      </c>
      <c r="B130" s="1" t="s">
        <v>51</v>
      </c>
      <c r="C130" s="1" t="s">
        <v>52</v>
      </c>
      <c r="D130" s="2" t="s">
        <v>53</v>
      </c>
      <c r="E130" s="5">
        <v>236</v>
      </c>
      <c r="F130" s="3">
        <v>85.718505376408899</v>
      </c>
      <c r="G130" t="s">
        <v>42</v>
      </c>
    </row>
    <row r="131" spans="1:7">
      <c r="A131" s="1" t="s">
        <v>50</v>
      </c>
      <c r="B131" s="1" t="s">
        <v>51</v>
      </c>
      <c r="C131" s="1" t="s">
        <v>52</v>
      </c>
      <c r="D131" s="2" t="s">
        <v>53</v>
      </c>
      <c r="E131" s="5">
        <v>236</v>
      </c>
      <c r="F131" s="3">
        <v>85.718505376408899</v>
      </c>
      <c r="G131" t="s">
        <v>42</v>
      </c>
    </row>
    <row r="132" spans="1:7">
      <c r="A132" s="1" t="s">
        <v>50</v>
      </c>
      <c r="B132" s="1" t="s">
        <v>51</v>
      </c>
      <c r="C132" s="1" t="s">
        <v>52</v>
      </c>
      <c r="D132" s="2" t="s">
        <v>53</v>
      </c>
      <c r="E132" s="5">
        <v>236</v>
      </c>
      <c r="F132" s="3">
        <v>85.718505376408899</v>
      </c>
      <c r="G132" t="s">
        <v>42</v>
      </c>
    </row>
    <row r="133" spans="1:7">
      <c r="A133" s="1" t="s">
        <v>50</v>
      </c>
      <c r="B133" s="1" t="s">
        <v>51</v>
      </c>
      <c r="C133" s="1" t="s">
        <v>52</v>
      </c>
      <c r="D133" s="2" t="s">
        <v>53</v>
      </c>
      <c r="E133" s="5">
        <v>236</v>
      </c>
      <c r="F133" s="3">
        <v>85.718505376408899</v>
      </c>
      <c r="G133" t="s">
        <v>42</v>
      </c>
    </row>
    <row r="134" spans="1:7">
      <c r="A134" s="1" t="s">
        <v>50</v>
      </c>
      <c r="B134" s="1" t="s">
        <v>51</v>
      </c>
      <c r="C134" s="1" t="s">
        <v>52</v>
      </c>
      <c r="D134" s="2" t="s">
        <v>53</v>
      </c>
      <c r="E134" s="5">
        <v>236</v>
      </c>
      <c r="F134" s="3">
        <v>85.718505376408899</v>
      </c>
      <c r="G134" t="s">
        <v>42</v>
      </c>
    </row>
    <row r="135" spans="1:7">
      <c r="A135" s="1" t="s">
        <v>50</v>
      </c>
      <c r="B135" s="1" t="s">
        <v>51</v>
      </c>
      <c r="C135" s="1" t="s">
        <v>52</v>
      </c>
      <c r="D135" s="2" t="s">
        <v>53</v>
      </c>
      <c r="E135" s="5">
        <v>236</v>
      </c>
      <c r="F135" s="3">
        <v>85.718505376408899</v>
      </c>
      <c r="G135" t="s">
        <v>42</v>
      </c>
    </row>
    <row r="136" spans="1:7">
      <c r="A136" s="1" t="s">
        <v>50</v>
      </c>
      <c r="B136" s="1" t="s">
        <v>51</v>
      </c>
      <c r="C136" s="1" t="s">
        <v>52</v>
      </c>
      <c r="D136" s="2" t="s">
        <v>53</v>
      </c>
      <c r="E136" s="5">
        <v>236</v>
      </c>
      <c r="F136" s="3">
        <v>85.718505376408899</v>
      </c>
      <c r="G136" t="s">
        <v>42</v>
      </c>
    </row>
    <row r="137" spans="1:7">
      <c r="A137" s="1" t="s">
        <v>50</v>
      </c>
      <c r="B137" s="1" t="s">
        <v>51</v>
      </c>
      <c r="C137" s="1" t="s">
        <v>52</v>
      </c>
      <c r="D137" s="2" t="s">
        <v>53</v>
      </c>
      <c r="E137" s="5">
        <v>236</v>
      </c>
      <c r="F137" s="3">
        <v>85.718505376408899</v>
      </c>
      <c r="G137" t="s">
        <v>42</v>
      </c>
    </row>
    <row r="138" spans="1:7">
      <c r="A138" s="1" t="s">
        <v>43</v>
      </c>
      <c r="B138" s="1" t="s">
        <v>44</v>
      </c>
      <c r="C138" s="1" t="s">
        <v>117</v>
      </c>
      <c r="D138" s="2" t="s">
        <v>46</v>
      </c>
      <c r="E138" s="5">
        <v>336</v>
      </c>
      <c r="F138" s="3">
        <v>84.984148710225099</v>
      </c>
      <c r="G138" t="s">
        <v>49</v>
      </c>
    </row>
    <row r="139" spans="1:7">
      <c r="A139" s="1" t="s">
        <v>43</v>
      </c>
      <c r="B139" s="1" t="s">
        <v>44</v>
      </c>
      <c r="C139" s="1" t="s">
        <v>117</v>
      </c>
      <c r="D139" s="2" t="s">
        <v>46</v>
      </c>
      <c r="E139" s="5">
        <v>336</v>
      </c>
      <c r="F139" s="3">
        <v>84.984148710225099</v>
      </c>
      <c r="G139" t="s">
        <v>49</v>
      </c>
    </row>
    <row r="140" spans="1:7">
      <c r="A140" s="1" t="s">
        <v>43</v>
      </c>
      <c r="B140" s="1" t="s">
        <v>44</v>
      </c>
      <c r="C140" s="1" t="s">
        <v>117</v>
      </c>
      <c r="D140" s="2" t="s">
        <v>46</v>
      </c>
      <c r="E140" s="5">
        <v>336</v>
      </c>
      <c r="F140" s="3">
        <v>84.984148710225099</v>
      </c>
      <c r="G140" t="s">
        <v>49</v>
      </c>
    </row>
    <row r="141" spans="1:7">
      <c r="A141" s="1" t="s">
        <v>43</v>
      </c>
      <c r="B141" s="1" t="s">
        <v>44</v>
      </c>
      <c r="C141" s="1" t="s">
        <v>117</v>
      </c>
      <c r="D141" s="2" t="s">
        <v>46</v>
      </c>
      <c r="E141" s="5">
        <v>336</v>
      </c>
      <c r="F141" s="3">
        <v>84.984148710225099</v>
      </c>
      <c r="G141" t="s">
        <v>49</v>
      </c>
    </row>
    <row r="142" spans="1:7">
      <c r="A142" s="1" t="s">
        <v>43</v>
      </c>
      <c r="B142" s="1" t="s">
        <v>44</v>
      </c>
      <c r="C142" s="1" t="s">
        <v>117</v>
      </c>
      <c r="D142" s="2" t="s">
        <v>46</v>
      </c>
      <c r="E142" s="5">
        <v>336</v>
      </c>
      <c r="F142" s="3">
        <v>84.984148710225099</v>
      </c>
      <c r="G142" t="s">
        <v>49</v>
      </c>
    </row>
    <row r="143" spans="1:7">
      <c r="A143" s="1" t="s">
        <v>43</v>
      </c>
      <c r="B143" s="1" t="s">
        <v>44</v>
      </c>
      <c r="C143" s="1" t="s">
        <v>117</v>
      </c>
      <c r="D143" s="2" t="s">
        <v>46</v>
      </c>
      <c r="E143" s="5">
        <v>336</v>
      </c>
      <c r="F143" s="3">
        <v>84.984148710225099</v>
      </c>
      <c r="G143" t="s">
        <v>49</v>
      </c>
    </row>
    <row r="144" spans="1:7">
      <c r="A144" s="1" t="s">
        <v>43</v>
      </c>
      <c r="B144" s="1" t="s">
        <v>44</v>
      </c>
      <c r="C144" s="1" t="s">
        <v>117</v>
      </c>
      <c r="D144" s="2" t="s">
        <v>46</v>
      </c>
      <c r="E144" s="5">
        <v>336</v>
      </c>
      <c r="F144" s="3">
        <v>84.984148710225099</v>
      </c>
      <c r="G144" t="s">
        <v>49</v>
      </c>
    </row>
    <row r="145" spans="1:7">
      <c r="A145" s="1" t="s">
        <v>43</v>
      </c>
      <c r="B145" s="1" t="s">
        <v>44</v>
      </c>
      <c r="C145" s="1" t="s">
        <v>117</v>
      </c>
      <c r="D145" s="2" t="s">
        <v>46</v>
      </c>
      <c r="E145" s="5">
        <v>336</v>
      </c>
      <c r="F145" s="3">
        <v>84.984148710225099</v>
      </c>
      <c r="G145" t="s">
        <v>49</v>
      </c>
    </row>
    <row r="146" spans="1:7">
      <c r="A146" s="1" t="s">
        <v>43</v>
      </c>
      <c r="B146" s="1" t="s">
        <v>44</v>
      </c>
      <c r="C146" s="1" t="s">
        <v>117</v>
      </c>
      <c r="D146" s="2" t="s">
        <v>46</v>
      </c>
      <c r="E146" s="5">
        <v>336</v>
      </c>
      <c r="F146" s="3">
        <v>84.984148710225099</v>
      </c>
      <c r="G146" t="s">
        <v>49</v>
      </c>
    </row>
    <row r="147" spans="1:7">
      <c r="A147" s="1" t="s">
        <v>43</v>
      </c>
      <c r="B147" s="1" t="s">
        <v>44</v>
      </c>
      <c r="C147" s="1" t="s">
        <v>117</v>
      </c>
      <c r="D147" s="2" t="s">
        <v>46</v>
      </c>
      <c r="E147" s="5">
        <v>336</v>
      </c>
      <c r="F147" s="3">
        <v>84.984148710225099</v>
      </c>
      <c r="G147" t="s">
        <v>49</v>
      </c>
    </row>
    <row r="148" spans="1:7">
      <c r="A148" s="1" t="s">
        <v>43</v>
      </c>
      <c r="B148" s="1" t="s">
        <v>44</v>
      </c>
      <c r="C148" s="1" t="s">
        <v>117</v>
      </c>
      <c r="D148" s="2" t="s">
        <v>46</v>
      </c>
      <c r="E148" s="5">
        <v>336</v>
      </c>
      <c r="F148" s="3">
        <v>84.984148710225099</v>
      </c>
      <c r="G148" t="s">
        <v>49</v>
      </c>
    </row>
    <row r="149" spans="1:7">
      <c r="A149" s="1" t="s">
        <v>43</v>
      </c>
      <c r="B149" s="1" t="s">
        <v>44</v>
      </c>
      <c r="C149" s="1" t="s">
        <v>117</v>
      </c>
      <c r="D149" s="2" t="s">
        <v>46</v>
      </c>
      <c r="E149" s="5">
        <v>336</v>
      </c>
      <c r="F149" s="3">
        <v>84.984148710225099</v>
      </c>
      <c r="G149" t="s">
        <v>49</v>
      </c>
    </row>
    <row r="150" spans="1:7">
      <c r="A150" s="1" t="s">
        <v>36</v>
      </c>
      <c r="B150" s="1" t="s">
        <v>37</v>
      </c>
      <c r="C150" s="1" t="s">
        <v>117</v>
      </c>
      <c r="D150" s="2" t="s">
        <v>118</v>
      </c>
      <c r="E150" s="5">
        <v>1436</v>
      </c>
      <c r="F150" s="3">
        <v>38.209820128439503</v>
      </c>
      <c r="G150" t="s">
        <v>49</v>
      </c>
    </row>
    <row r="151" spans="1:7">
      <c r="A151" s="1" t="s">
        <v>36</v>
      </c>
      <c r="B151" s="1" t="s">
        <v>37</v>
      </c>
      <c r="C151" s="1" t="s">
        <v>117</v>
      </c>
      <c r="D151" s="2" t="s">
        <v>118</v>
      </c>
      <c r="E151" s="5">
        <v>1436</v>
      </c>
      <c r="F151" s="3">
        <v>38.209820128439503</v>
      </c>
      <c r="G151" t="s">
        <v>49</v>
      </c>
    </row>
    <row r="152" spans="1:7">
      <c r="A152" s="1" t="s">
        <v>36</v>
      </c>
      <c r="B152" s="1" t="s">
        <v>37</v>
      </c>
      <c r="C152" s="1" t="s">
        <v>117</v>
      </c>
      <c r="D152" s="2" t="s">
        <v>118</v>
      </c>
      <c r="E152" s="5">
        <v>1436</v>
      </c>
      <c r="F152" s="3">
        <v>38.209820128439503</v>
      </c>
      <c r="G152" t="s">
        <v>49</v>
      </c>
    </row>
    <row r="153" spans="1:7">
      <c r="A153" s="1" t="s">
        <v>36</v>
      </c>
      <c r="B153" s="1" t="s">
        <v>37</v>
      </c>
      <c r="C153" s="1" t="s">
        <v>117</v>
      </c>
      <c r="D153" s="2" t="s">
        <v>118</v>
      </c>
      <c r="E153" s="5">
        <v>1436</v>
      </c>
      <c r="F153" s="3">
        <v>38.209820128439503</v>
      </c>
      <c r="G153" t="s">
        <v>49</v>
      </c>
    </row>
    <row r="154" spans="1:7">
      <c r="A154" s="1" t="s">
        <v>36</v>
      </c>
      <c r="B154" s="1" t="s">
        <v>37</v>
      </c>
      <c r="C154" s="1" t="s">
        <v>117</v>
      </c>
      <c r="D154" s="2" t="s">
        <v>118</v>
      </c>
      <c r="E154" s="5">
        <v>1436</v>
      </c>
      <c r="F154" s="3">
        <v>38.209820128439503</v>
      </c>
      <c r="G154" t="s">
        <v>49</v>
      </c>
    </row>
    <row r="155" spans="1:7">
      <c r="A155" s="1" t="s">
        <v>36</v>
      </c>
      <c r="B155" s="1" t="s">
        <v>37</v>
      </c>
      <c r="C155" s="1" t="s">
        <v>117</v>
      </c>
      <c r="D155" s="2" t="s">
        <v>118</v>
      </c>
      <c r="E155" s="5">
        <v>1436</v>
      </c>
      <c r="F155" s="3">
        <v>38.209820128439503</v>
      </c>
      <c r="G155" t="s">
        <v>49</v>
      </c>
    </row>
    <row r="156" spans="1:7">
      <c r="A156" s="1" t="s">
        <v>36</v>
      </c>
      <c r="B156" s="1" t="s">
        <v>37</v>
      </c>
      <c r="C156" s="1" t="s">
        <v>117</v>
      </c>
      <c r="D156" s="2" t="s">
        <v>118</v>
      </c>
      <c r="E156" s="5">
        <v>1436</v>
      </c>
      <c r="F156" s="3">
        <v>38.209820128439503</v>
      </c>
      <c r="G156" t="s">
        <v>49</v>
      </c>
    </row>
    <row r="157" spans="1:7">
      <c r="A157" s="1" t="s">
        <v>36</v>
      </c>
      <c r="B157" s="1" t="s">
        <v>37</v>
      </c>
      <c r="C157" s="1" t="s">
        <v>117</v>
      </c>
      <c r="D157" s="2" t="s">
        <v>118</v>
      </c>
      <c r="E157" s="5">
        <v>1436</v>
      </c>
      <c r="F157" s="3">
        <v>38.209820128439503</v>
      </c>
      <c r="G157" t="s">
        <v>49</v>
      </c>
    </row>
    <row r="158" spans="1:7">
      <c r="A158" s="1" t="s">
        <v>36</v>
      </c>
      <c r="B158" s="1" t="s">
        <v>37</v>
      </c>
      <c r="C158" s="1" t="s">
        <v>117</v>
      </c>
      <c r="D158" s="2" t="s">
        <v>118</v>
      </c>
      <c r="E158" s="5">
        <v>1436</v>
      </c>
      <c r="F158" s="3">
        <v>38.209820128439503</v>
      </c>
      <c r="G158" t="s">
        <v>49</v>
      </c>
    </row>
    <row r="159" spans="1:7">
      <c r="A159" s="1" t="s">
        <v>36</v>
      </c>
      <c r="B159" s="1" t="s">
        <v>37</v>
      </c>
      <c r="C159" s="1" t="s">
        <v>117</v>
      </c>
      <c r="D159" s="2" t="s">
        <v>118</v>
      </c>
      <c r="E159" s="5">
        <v>1436</v>
      </c>
      <c r="F159" s="3">
        <v>38.209820128439503</v>
      </c>
      <c r="G159" t="s">
        <v>49</v>
      </c>
    </row>
    <row r="160" spans="1:7">
      <c r="A160" s="1" t="s">
        <v>36</v>
      </c>
      <c r="B160" s="1" t="s">
        <v>37</v>
      </c>
      <c r="C160" s="1" t="s">
        <v>117</v>
      </c>
      <c r="D160" s="2" t="s">
        <v>118</v>
      </c>
      <c r="E160" s="5">
        <v>1436</v>
      </c>
      <c r="F160" s="3">
        <v>38.209820128439503</v>
      </c>
      <c r="G160" t="s">
        <v>49</v>
      </c>
    </row>
    <row r="161" spans="1:7">
      <c r="A161" s="1" t="s">
        <v>36</v>
      </c>
      <c r="B161" s="1" t="s">
        <v>37</v>
      </c>
      <c r="C161" s="1" t="s">
        <v>117</v>
      </c>
      <c r="D161" s="2" t="s">
        <v>118</v>
      </c>
      <c r="E161" s="5">
        <v>1436</v>
      </c>
      <c r="F161" s="3">
        <v>38.209820128439503</v>
      </c>
      <c r="G161" t="s">
        <v>49</v>
      </c>
    </row>
    <row r="162" spans="1:7">
      <c r="A162" s="1" t="s">
        <v>36</v>
      </c>
      <c r="B162" s="1" t="s">
        <v>37</v>
      </c>
      <c r="C162" s="1" t="s">
        <v>117</v>
      </c>
      <c r="D162" s="2" t="s">
        <v>118</v>
      </c>
      <c r="E162" s="5">
        <v>1436</v>
      </c>
      <c r="F162" s="3">
        <v>38.209820128439503</v>
      </c>
      <c r="G162" t="s">
        <v>49</v>
      </c>
    </row>
    <row r="163" spans="1:7">
      <c r="A163" s="1" t="s">
        <v>36</v>
      </c>
      <c r="B163" s="1" t="s">
        <v>37</v>
      </c>
      <c r="C163" s="1" t="s">
        <v>38</v>
      </c>
      <c r="D163" s="2" t="s">
        <v>39</v>
      </c>
      <c r="E163" s="7">
        <v>1282</v>
      </c>
      <c r="F163" s="3">
        <v>76.228251999095903</v>
      </c>
      <c r="G163" t="s">
        <v>42</v>
      </c>
    </row>
    <row r="164" spans="1:7">
      <c r="A164" s="1" t="s">
        <v>36</v>
      </c>
      <c r="B164" s="1" t="s">
        <v>37</v>
      </c>
      <c r="C164" s="1" t="s">
        <v>38</v>
      </c>
      <c r="D164" s="2" t="s">
        <v>39</v>
      </c>
      <c r="E164" s="5">
        <v>1282</v>
      </c>
      <c r="F164" s="3">
        <v>76.228251999095903</v>
      </c>
      <c r="G164" t="s">
        <v>42</v>
      </c>
    </row>
    <row r="165" spans="1:7">
      <c r="A165" s="1" t="s">
        <v>36</v>
      </c>
      <c r="B165" s="1" t="s">
        <v>37</v>
      </c>
      <c r="C165" s="1" t="s">
        <v>38</v>
      </c>
      <c r="D165" s="2" t="s">
        <v>39</v>
      </c>
      <c r="E165" s="5">
        <v>1282</v>
      </c>
      <c r="F165" s="3">
        <v>76.228251999095903</v>
      </c>
      <c r="G165" t="s">
        <v>42</v>
      </c>
    </row>
    <row r="166" spans="1:7">
      <c r="A166" s="1" t="s">
        <v>36</v>
      </c>
      <c r="B166" s="1" t="s">
        <v>37</v>
      </c>
      <c r="C166" s="1" t="s">
        <v>38</v>
      </c>
      <c r="D166" s="2" t="s">
        <v>39</v>
      </c>
      <c r="E166" s="5">
        <v>1282</v>
      </c>
      <c r="F166" s="3">
        <v>76.228251999095903</v>
      </c>
      <c r="G166" t="s">
        <v>42</v>
      </c>
    </row>
    <row r="167" spans="1:7">
      <c r="A167" s="1" t="s">
        <v>36</v>
      </c>
      <c r="B167" s="1" t="s">
        <v>37</v>
      </c>
      <c r="C167" s="1" t="s">
        <v>38</v>
      </c>
      <c r="D167" s="2" t="s">
        <v>39</v>
      </c>
      <c r="E167" s="5">
        <v>1282</v>
      </c>
      <c r="F167" s="3">
        <v>76.228251999095903</v>
      </c>
      <c r="G167" t="s">
        <v>42</v>
      </c>
    </row>
    <row r="168" spans="1:7">
      <c r="A168" s="1" t="s">
        <v>36</v>
      </c>
      <c r="B168" s="1" t="s">
        <v>37</v>
      </c>
      <c r="C168" s="1" t="s">
        <v>38</v>
      </c>
      <c r="D168" s="2" t="s">
        <v>39</v>
      </c>
      <c r="E168" s="5">
        <v>1282</v>
      </c>
      <c r="F168" s="3">
        <v>76.228251999095903</v>
      </c>
      <c r="G168" t="s">
        <v>42</v>
      </c>
    </row>
    <row r="169" spans="1:7">
      <c r="A169" s="1" t="s">
        <v>36</v>
      </c>
      <c r="B169" s="1" t="s">
        <v>37</v>
      </c>
      <c r="C169" s="1" t="s">
        <v>38</v>
      </c>
      <c r="D169" s="2" t="s">
        <v>39</v>
      </c>
      <c r="E169" s="5">
        <v>1282</v>
      </c>
      <c r="F169" s="3">
        <v>76.228251999095903</v>
      </c>
      <c r="G169" t="s">
        <v>42</v>
      </c>
    </row>
    <row r="170" spans="1:7">
      <c r="A170" s="1" t="s">
        <v>36</v>
      </c>
      <c r="B170" s="1" t="s">
        <v>37</v>
      </c>
      <c r="C170" s="1" t="s">
        <v>38</v>
      </c>
      <c r="D170" s="2" t="s">
        <v>39</v>
      </c>
      <c r="E170" s="5">
        <v>1282</v>
      </c>
      <c r="F170" s="3">
        <v>76.228251999095903</v>
      </c>
      <c r="G170" t="s">
        <v>42</v>
      </c>
    </row>
    <row r="171" spans="1:7">
      <c r="A171" s="1" t="s">
        <v>36</v>
      </c>
      <c r="B171" s="1" t="s">
        <v>37</v>
      </c>
      <c r="C171" s="1" t="s">
        <v>38</v>
      </c>
      <c r="D171" s="2" t="s">
        <v>39</v>
      </c>
      <c r="E171" s="5">
        <v>1282</v>
      </c>
      <c r="F171" s="3">
        <v>76.228251999095903</v>
      </c>
      <c r="G171" t="s">
        <v>42</v>
      </c>
    </row>
    <row r="172" spans="1:7">
      <c r="A172" s="1" t="s">
        <v>36</v>
      </c>
      <c r="B172" s="1" t="s">
        <v>37</v>
      </c>
      <c r="C172" s="1" t="s">
        <v>38</v>
      </c>
      <c r="D172" s="2" t="s">
        <v>39</v>
      </c>
      <c r="E172" s="5">
        <v>1282</v>
      </c>
      <c r="F172" s="3">
        <v>76.228251999095903</v>
      </c>
      <c r="G172" t="s">
        <v>42</v>
      </c>
    </row>
    <row r="173" spans="1:7">
      <c r="A173" s="1" t="s">
        <v>80</v>
      </c>
      <c r="B173" s="1" t="s">
        <v>81</v>
      </c>
      <c r="C173" s="1" t="s">
        <v>82</v>
      </c>
      <c r="D173" s="2" t="s">
        <v>83</v>
      </c>
      <c r="E173" s="5">
        <v>226</v>
      </c>
      <c r="F173" s="3">
        <v>46.558295391478303</v>
      </c>
      <c r="G173" t="s">
        <v>42</v>
      </c>
    </row>
    <row r="174" spans="1:7">
      <c r="A174" s="1" t="s">
        <v>80</v>
      </c>
      <c r="B174" s="1" t="s">
        <v>81</v>
      </c>
      <c r="C174" s="1" t="s">
        <v>82</v>
      </c>
      <c r="D174" s="2" t="s">
        <v>83</v>
      </c>
      <c r="E174" s="5">
        <v>226</v>
      </c>
      <c r="F174" s="3">
        <v>46.558295391478303</v>
      </c>
      <c r="G174" t="s">
        <v>42</v>
      </c>
    </row>
    <row r="175" spans="1:7">
      <c r="A175" s="1" t="s">
        <v>80</v>
      </c>
      <c r="B175" s="1" t="s">
        <v>81</v>
      </c>
      <c r="C175" s="1" t="s">
        <v>82</v>
      </c>
      <c r="D175" s="2" t="s">
        <v>83</v>
      </c>
      <c r="E175" s="5">
        <v>226</v>
      </c>
      <c r="F175" s="3">
        <v>46.558295391478303</v>
      </c>
      <c r="G175" t="s">
        <v>42</v>
      </c>
    </row>
    <row r="176" spans="1:7">
      <c r="A176" s="1" t="s">
        <v>80</v>
      </c>
      <c r="B176" s="1" t="s">
        <v>81</v>
      </c>
      <c r="C176" s="1" t="s">
        <v>82</v>
      </c>
      <c r="D176" s="2" t="s">
        <v>83</v>
      </c>
      <c r="E176" s="5">
        <v>226</v>
      </c>
      <c r="F176" s="3">
        <v>46.558295391478303</v>
      </c>
      <c r="G176" t="s">
        <v>42</v>
      </c>
    </row>
    <row r="177" spans="1:7">
      <c r="A177" s="1" t="s">
        <v>80</v>
      </c>
      <c r="B177" s="1" t="s">
        <v>81</v>
      </c>
      <c r="C177" s="1" t="s">
        <v>82</v>
      </c>
      <c r="D177" s="2" t="s">
        <v>83</v>
      </c>
      <c r="E177" s="5">
        <v>226</v>
      </c>
      <c r="F177" s="3">
        <v>46.558295391478303</v>
      </c>
      <c r="G177" t="s">
        <v>42</v>
      </c>
    </row>
    <row r="178" spans="1:7">
      <c r="A178" s="1" t="s">
        <v>80</v>
      </c>
      <c r="B178" s="1" t="s">
        <v>81</v>
      </c>
      <c r="C178" s="1" t="s">
        <v>82</v>
      </c>
      <c r="D178" s="2" t="s">
        <v>83</v>
      </c>
      <c r="E178" s="5">
        <v>226</v>
      </c>
      <c r="F178" s="3">
        <v>46.558295391478303</v>
      </c>
      <c r="G178" t="s">
        <v>42</v>
      </c>
    </row>
    <row r="179" spans="1:7">
      <c r="A179" s="1" t="s">
        <v>80</v>
      </c>
      <c r="B179" s="1" t="s">
        <v>81</v>
      </c>
      <c r="C179" s="1" t="s">
        <v>82</v>
      </c>
      <c r="D179" s="2" t="s">
        <v>83</v>
      </c>
      <c r="E179" s="5">
        <v>226</v>
      </c>
      <c r="F179" s="3">
        <v>46.558295391478303</v>
      </c>
      <c r="G179" t="s">
        <v>42</v>
      </c>
    </row>
    <row r="180" spans="1:7">
      <c r="A180" s="1" t="s">
        <v>80</v>
      </c>
      <c r="B180" s="1" t="s">
        <v>81</v>
      </c>
      <c r="C180" s="1" t="s">
        <v>146</v>
      </c>
      <c r="D180" s="2" t="s">
        <v>87</v>
      </c>
      <c r="E180" s="5">
        <v>1966</v>
      </c>
      <c r="F180" s="3">
        <v>46.9942259305842</v>
      </c>
      <c r="G180" t="s">
        <v>42</v>
      </c>
    </row>
    <row r="181" spans="1:7">
      <c r="A181" s="1" t="s">
        <v>80</v>
      </c>
      <c r="B181" s="1" t="s">
        <v>81</v>
      </c>
      <c r="C181" s="1" t="s">
        <v>146</v>
      </c>
      <c r="D181" s="2" t="s">
        <v>87</v>
      </c>
      <c r="E181" s="5">
        <v>1966</v>
      </c>
      <c r="F181" s="3">
        <v>46.9942259305842</v>
      </c>
      <c r="G181" t="s">
        <v>42</v>
      </c>
    </row>
    <row r="182" spans="1:7">
      <c r="A182" s="1" t="s">
        <v>80</v>
      </c>
      <c r="B182" s="1" t="s">
        <v>81</v>
      </c>
      <c r="C182" s="1" t="s">
        <v>146</v>
      </c>
      <c r="D182" s="2" t="s">
        <v>87</v>
      </c>
      <c r="E182" s="5">
        <v>1966</v>
      </c>
      <c r="F182" s="3">
        <v>46.9942259305842</v>
      </c>
      <c r="G182" t="s">
        <v>42</v>
      </c>
    </row>
    <row r="183" spans="1:7">
      <c r="A183" s="1" t="s">
        <v>80</v>
      </c>
      <c r="B183" s="1" t="s">
        <v>81</v>
      </c>
      <c r="C183" s="1" t="s">
        <v>146</v>
      </c>
      <c r="D183" s="2" t="s">
        <v>87</v>
      </c>
      <c r="E183" s="5">
        <v>1966</v>
      </c>
      <c r="F183" s="3">
        <v>46.9942259305842</v>
      </c>
      <c r="G183" t="s">
        <v>42</v>
      </c>
    </row>
    <row r="184" spans="1:7">
      <c r="A184" s="1" t="s">
        <v>80</v>
      </c>
      <c r="B184" s="1" t="s">
        <v>81</v>
      </c>
      <c r="C184" s="1" t="s">
        <v>146</v>
      </c>
      <c r="D184" s="2" t="s">
        <v>87</v>
      </c>
      <c r="E184" s="5">
        <v>1966</v>
      </c>
      <c r="F184" s="3">
        <v>46.9942259305842</v>
      </c>
      <c r="G184" t="s">
        <v>42</v>
      </c>
    </row>
    <row r="185" spans="1:7">
      <c r="A185" s="1" t="s">
        <v>80</v>
      </c>
      <c r="B185" s="1" t="s">
        <v>81</v>
      </c>
      <c r="C185" s="1" t="s">
        <v>146</v>
      </c>
      <c r="D185" s="2" t="s">
        <v>87</v>
      </c>
      <c r="E185" s="5">
        <v>1966</v>
      </c>
      <c r="F185" s="3">
        <v>46.9942259305842</v>
      </c>
      <c r="G185" t="s">
        <v>42</v>
      </c>
    </row>
    <row r="186" spans="1:7">
      <c r="A186" s="1" t="s">
        <v>80</v>
      </c>
      <c r="B186" s="1" t="s">
        <v>81</v>
      </c>
      <c r="C186" s="1" t="s">
        <v>146</v>
      </c>
      <c r="D186" s="2" t="s">
        <v>87</v>
      </c>
      <c r="E186" s="5">
        <v>1966</v>
      </c>
      <c r="F186" s="3">
        <v>46.9942259305842</v>
      </c>
      <c r="G186" t="s">
        <v>42</v>
      </c>
    </row>
    <row r="187" spans="1:7">
      <c r="A187" s="1" t="s">
        <v>80</v>
      </c>
      <c r="B187" s="1" t="s">
        <v>81</v>
      </c>
      <c r="C187" s="1" t="s">
        <v>146</v>
      </c>
      <c r="D187" s="2" t="s">
        <v>87</v>
      </c>
      <c r="E187" s="5">
        <v>1966</v>
      </c>
      <c r="F187" s="3">
        <v>46.9942259305842</v>
      </c>
      <c r="G187" t="s">
        <v>42</v>
      </c>
    </row>
    <row r="188" spans="1:7">
      <c r="A188" s="1" t="s">
        <v>80</v>
      </c>
      <c r="B188" s="1" t="s">
        <v>81</v>
      </c>
      <c r="C188" s="1" t="s">
        <v>146</v>
      </c>
      <c r="D188" s="2" t="s">
        <v>87</v>
      </c>
      <c r="E188" s="5">
        <v>1966</v>
      </c>
      <c r="F188" s="3">
        <v>46.9942259305842</v>
      </c>
      <c r="G188" t="s">
        <v>42</v>
      </c>
    </row>
    <row r="189" spans="1:7">
      <c r="A189" s="1" t="s">
        <v>80</v>
      </c>
      <c r="B189" s="1" t="s">
        <v>81</v>
      </c>
      <c r="C189" s="1" t="s">
        <v>146</v>
      </c>
      <c r="D189" s="2" t="s">
        <v>87</v>
      </c>
      <c r="E189" s="5">
        <v>1966</v>
      </c>
      <c r="F189" s="3">
        <v>46.9942259305842</v>
      </c>
      <c r="G189" t="s">
        <v>42</v>
      </c>
    </row>
    <row r="190" spans="1:7">
      <c r="A190" s="1" t="s">
        <v>80</v>
      </c>
      <c r="B190" s="1" t="s">
        <v>81</v>
      </c>
      <c r="C190" s="1" t="s">
        <v>146</v>
      </c>
      <c r="D190" s="2" t="s">
        <v>87</v>
      </c>
      <c r="E190" s="5">
        <v>1966</v>
      </c>
      <c r="F190" s="3">
        <v>46.9942259305842</v>
      </c>
      <c r="G190" t="s">
        <v>42</v>
      </c>
    </row>
    <row r="191" spans="1:7">
      <c r="A191" s="1" t="s">
        <v>80</v>
      </c>
      <c r="B191" s="1" t="s">
        <v>81</v>
      </c>
      <c r="C191" s="1" t="s">
        <v>146</v>
      </c>
      <c r="D191" s="2" t="s">
        <v>87</v>
      </c>
      <c r="E191" s="5">
        <v>1966</v>
      </c>
      <c r="F191" s="3">
        <v>46.9942259305842</v>
      </c>
      <c r="G191" t="s">
        <v>42</v>
      </c>
    </row>
    <row r="192" spans="1:7">
      <c r="A192" s="1" t="s">
        <v>80</v>
      </c>
      <c r="B192" s="1" t="s">
        <v>81</v>
      </c>
      <c r="C192" s="1" t="s">
        <v>146</v>
      </c>
      <c r="D192" s="2" t="s">
        <v>87</v>
      </c>
      <c r="E192" s="5">
        <v>1966</v>
      </c>
      <c r="F192" s="3">
        <v>46.9942259305842</v>
      </c>
      <c r="G192" t="s">
        <v>42</v>
      </c>
    </row>
    <row r="193" spans="1:7">
      <c r="A193" s="1" t="s">
        <v>68</v>
      </c>
      <c r="B193" s="1" t="s">
        <v>69</v>
      </c>
      <c r="C193" s="1" t="s">
        <v>70</v>
      </c>
      <c r="D193" s="2" t="s">
        <v>71</v>
      </c>
      <c r="E193" s="5">
        <v>990</v>
      </c>
      <c r="F193" s="3">
        <v>92.698038873931196</v>
      </c>
      <c r="G193" t="s">
        <v>42</v>
      </c>
    </row>
    <row r="194" spans="1:7">
      <c r="A194" s="1" t="s">
        <v>68</v>
      </c>
      <c r="B194" s="1" t="s">
        <v>69</v>
      </c>
      <c r="C194" s="1" t="s">
        <v>70</v>
      </c>
      <c r="D194" s="2" t="s">
        <v>71</v>
      </c>
      <c r="E194" s="5">
        <v>990</v>
      </c>
      <c r="F194" s="3">
        <v>92.698038873931196</v>
      </c>
      <c r="G194" t="s">
        <v>42</v>
      </c>
    </row>
    <row r="195" spans="1:7">
      <c r="A195" s="1" t="s">
        <v>68</v>
      </c>
      <c r="B195" s="1" t="s">
        <v>69</v>
      </c>
      <c r="C195" s="1" t="s">
        <v>70</v>
      </c>
      <c r="D195" s="2" t="s">
        <v>71</v>
      </c>
      <c r="E195" s="5">
        <v>990</v>
      </c>
      <c r="F195" s="3">
        <v>92.698038873931196</v>
      </c>
      <c r="G195" t="s">
        <v>42</v>
      </c>
    </row>
    <row r="196" spans="1:7">
      <c r="A196" s="1" t="s">
        <v>68</v>
      </c>
      <c r="B196" s="1" t="s">
        <v>69</v>
      </c>
      <c r="C196" s="1" t="s">
        <v>70</v>
      </c>
      <c r="D196" s="2" t="s">
        <v>71</v>
      </c>
      <c r="E196" s="5">
        <v>990</v>
      </c>
      <c r="F196" s="3">
        <v>92.698038873931196</v>
      </c>
      <c r="G196" t="s">
        <v>42</v>
      </c>
    </row>
    <row r="197" spans="1:7">
      <c r="A197" s="1" t="s">
        <v>68</v>
      </c>
      <c r="B197" s="1" t="s">
        <v>69</v>
      </c>
      <c r="C197" s="1" t="s">
        <v>70</v>
      </c>
      <c r="D197" s="2" t="s">
        <v>71</v>
      </c>
      <c r="E197" s="5">
        <v>990</v>
      </c>
      <c r="F197" s="3">
        <v>92.698038873931196</v>
      </c>
      <c r="G197" t="s">
        <v>42</v>
      </c>
    </row>
    <row r="198" spans="1:7">
      <c r="A198" s="1" t="s">
        <v>68</v>
      </c>
      <c r="B198" s="1" t="s">
        <v>69</v>
      </c>
      <c r="C198" s="1" t="s">
        <v>70</v>
      </c>
      <c r="D198" s="2" t="s">
        <v>71</v>
      </c>
      <c r="E198" s="5">
        <v>990</v>
      </c>
      <c r="F198" s="3">
        <v>92.698038873931196</v>
      </c>
      <c r="G198" t="s">
        <v>42</v>
      </c>
    </row>
    <row r="199" spans="1:7">
      <c r="A199" s="1" t="s">
        <v>68</v>
      </c>
      <c r="B199" s="1" t="s">
        <v>69</v>
      </c>
      <c r="C199" s="1" t="s">
        <v>70</v>
      </c>
      <c r="D199" s="2" t="s">
        <v>71</v>
      </c>
      <c r="E199" s="5">
        <v>990</v>
      </c>
      <c r="F199" s="3">
        <v>92.698038873931196</v>
      </c>
      <c r="G199" t="s">
        <v>42</v>
      </c>
    </row>
    <row r="200" spans="1:7">
      <c r="A200" s="1" t="s">
        <v>68</v>
      </c>
      <c r="B200" s="1" t="s">
        <v>69</v>
      </c>
      <c r="C200" s="1" t="s">
        <v>70</v>
      </c>
      <c r="D200" s="2" t="s">
        <v>71</v>
      </c>
      <c r="E200" s="5">
        <v>990</v>
      </c>
      <c r="F200" s="3">
        <v>92.698038873931196</v>
      </c>
      <c r="G200" t="s">
        <v>42</v>
      </c>
    </row>
    <row r="201" spans="1:7">
      <c r="A201" s="1" t="s">
        <v>68</v>
      </c>
      <c r="B201" s="1" t="s">
        <v>69</v>
      </c>
      <c r="C201" s="1" t="s">
        <v>70</v>
      </c>
      <c r="D201" s="2" t="s">
        <v>71</v>
      </c>
      <c r="E201" s="5">
        <v>990</v>
      </c>
      <c r="F201" s="3">
        <v>92.698038873931196</v>
      </c>
      <c r="G201" t="s">
        <v>42</v>
      </c>
    </row>
    <row r="202" spans="1:7">
      <c r="A202" s="1" t="s">
        <v>68</v>
      </c>
      <c r="B202" s="1" t="s">
        <v>69</v>
      </c>
      <c r="C202" s="1" t="s">
        <v>70</v>
      </c>
      <c r="D202" s="2" t="s">
        <v>71</v>
      </c>
      <c r="E202" s="5">
        <v>990</v>
      </c>
      <c r="F202" s="3">
        <v>92.698038873931196</v>
      </c>
      <c r="G202" t="s">
        <v>42</v>
      </c>
    </row>
    <row r="203" spans="1:7">
      <c r="A203" s="1" t="s">
        <v>68</v>
      </c>
      <c r="B203" s="1" t="s">
        <v>69</v>
      </c>
      <c r="C203" s="1" t="s">
        <v>70</v>
      </c>
      <c r="D203" s="2" t="s">
        <v>71</v>
      </c>
      <c r="E203" s="5">
        <v>990</v>
      </c>
      <c r="F203" s="3">
        <v>92.698038873931196</v>
      </c>
      <c r="G203" t="s">
        <v>42</v>
      </c>
    </row>
    <row r="204" spans="1:7">
      <c r="A204" s="1" t="s">
        <v>68</v>
      </c>
      <c r="B204" s="1" t="s">
        <v>69</v>
      </c>
      <c r="C204" s="1" t="s">
        <v>70</v>
      </c>
      <c r="D204" s="2" t="s">
        <v>71</v>
      </c>
      <c r="E204" s="5">
        <v>990</v>
      </c>
      <c r="F204" s="3">
        <v>92.698038873931196</v>
      </c>
      <c r="G204" t="s">
        <v>42</v>
      </c>
    </row>
    <row r="205" spans="1:7">
      <c r="A205" s="1" t="s">
        <v>68</v>
      </c>
      <c r="B205" s="1" t="s">
        <v>69</v>
      </c>
      <c r="C205" s="1" t="s">
        <v>70</v>
      </c>
      <c r="D205" s="2" t="s">
        <v>71</v>
      </c>
      <c r="E205" s="5">
        <v>990</v>
      </c>
      <c r="F205" s="3">
        <v>92.698038873931196</v>
      </c>
      <c r="G205" t="s">
        <v>42</v>
      </c>
    </row>
    <row r="206" spans="1:7">
      <c r="A206" s="1" t="s">
        <v>68</v>
      </c>
      <c r="B206" s="1" t="s">
        <v>69</v>
      </c>
      <c r="C206" s="1" t="s">
        <v>70</v>
      </c>
      <c r="D206" s="2" t="s">
        <v>71</v>
      </c>
      <c r="E206" s="5">
        <v>990</v>
      </c>
      <c r="F206" s="3">
        <v>92.698038873931196</v>
      </c>
      <c r="G206" t="s">
        <v>42</v>
      </c>
    </row>
    <row r="207" spans="1:7">
      <c r="A207" s="1" t="s">
        <v>68</v>
      </c>
      <c r="B207" s="1" t="s">
        <v>69</v>
      </c>
      <c r="C207" s="1" t="s">
        <v>70</v>
      </c>
      <c r="D207" s="2" t="s">
        <v>71</v>
      </c>
      <c r="E207" s="5">
        <v>990</v>
      </c>
      <c r="F207" s="3">
        <v>92.698038873931196</v>
      </c>
      <c r="G207" t="s">
        <v>42</v>
      </c>
    </row>
  </sheetData>
  <phoneticPr fontId="20" type="noConversion"/>
  <conditionalFormatting sqref="G2:G207">
    <cfRule type="cellIs" dxfId="2" priority="3" operator="equal">
      <formula>"False"</formula>
    </cfRule>
    <cfRule type="cellIs" dxfId="1" priority="4" operator="equal">
      <formula>"True"</formula>
    </cfRule>
  </conditionalFormatting>
  <conditionalFormatting sqref="I1:I1048576">
    <cfRule type="expression" dxfId="0" priority="1">
      <formula>12 &lt;&gt; ""</formula>
    </cfRule>
  </conditionalFormatting>
  <dataValidations disablePrompts="1" count="1">
    <dataValidation type="list" allowBlank="1" showInputMessage="1" showErrorMessage="1" sqref="J9" xr:uid="{749B34BD-2951-477F-9F75-34469244380E}">
      <formula1>$J$12:$J$26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2548E-DEDE-441D-9B78-A2D12A35A718}">
  <sheetPr codeName="Sheet4"/>
  <dimension ref="A3:J52"/>
  <sheetViews>
    <sheetView workbookViewId="0">
      <selection activeCell="B6" sqref="B6"/>
    </sheetView>
  </sheetViews>
  <sheetFormatPr defaultRowHeight="15"/>
  <cols>
    <col min="1" max="1" width="28" bestFit="1" customWidth="1"/>
    <col min="2" max="2" width="18.5703125" style="4" bestFit="1" customWidth="1"/>
    <col min="3" max="3" width="5" style="4" bestFit="1" customWidth="1"/>
    <col min="4" max="5" width="11.28515625" style="4" bestFit="1" customWidth="1"/>
    <col min="6" max="6" width="16.140625" bestFit="1" customWidth="1"/>
    <col min="7" max="7" width="26.140625" bestFit="1" customWidth="1"/>
    <col min="8" max="8" width="14.28515625" bestFit="1" customWidth="1"/>
    <col min="9" max="9" width="14.140625" bestFit="1" customWidth="1"/>
    <col min="10" max="10" width="12.7109375" bestFit="1" customWidth="1"/>
    <col min="11" max="11" width="1.7109375" bestFit="1" customWidth="1"/>
    <col min="12" max="12" width="1.85546875" bestFit="1" customWidth="1"/>
    <col min="13" max="13" width="1.7109375" bestFit="1" customWidth="1"/>
    <col min="14" max="14" width="2" bestFit="1" customWidth="1"/>
    <col min="15" max="15" width="2.5703125" bestFit="1" customWidth="1"/>
    <col min="16" max="16" width="7.28515625" bestFit="1" customWidth="1"/>
    <col min="17" max="17" width="11.28515625" bestFit="1" customWidth="1"/>
  </cols>
  <sheetData>
    <row r="3" spans="1:10">
      <c r="A3" s="12" t="s">
        <v>171</v>
      </c>
      <c r="B3" s="14" t="s">
        <v>170</v>
      </c>
      <c r="C3"/>
      <c r="D3"/>
      <c r="E3"/>
      <c r="G3" s="12" t="s">
        <v>166</v>
      </c>
      <c r="H3" t="s">
        <v>169</v>
      </c>
      <c r="I3" t="s">
        <v>168</v>
      </c>
      <c r="J3" t="s">
        <v>172</v>
      </c>
    </row>
    <row r="4" spans="1:10">
      <c r="A4" s="12" t="s">
        <v>166</v>
      </c>
      <c r="B4" s="4" t="s">
        <v>42</v>
      </c>
      <c r="C4" s="4" t="s">
        <v>49</v>
      </c>
      <c r="D4" t="s">
        <v>167</v>
      </c>
      <c r="E4"/>
      <c r="G4" s="8" t="s">
        <v>129</v>
      </c>
      <c r="H4">
        <v>450.84777954153282</v>
      </c>
      <c r="I4">
        <v>1120</v>
      </c>
      <c r="J4">
        <v>669.15222045846713</v>
      </c>
    </row>
    <row r="5" spans="1:10">
      <c r="A5" s="8" t="s">
        <v>129</v>
      </c>
      <c r="C5" s="4">
        <v>7</v>
      </c>
      <c r="D5" s="4">
        <v>7</v>
      </c>
      <c r="E5"/>
      <c r="G5" s="8" t="s">
        <v>62</v>
      </c>
      <c r="H5">
        <v>247.46716999328154</v>
      </c>
      <c r="I5">
        <v>6456</v>
      </c>
      <c r="J5">
        <v>6208.5328300067185</v>
      </c>
    </row>
    <row r="6" spans="1:10">
      <c r="A6" s="13" t="s">
        <v>149</v>
      </c>
      <c r="C6" s="4">
        <v>7</v>
      </c>
      <c r="D6" s="4">
        <v>7</v>
      </c>
      <c r="E6"/>
      <c r="G6" s="8" t="s">
        <v>90</v>
      </c>
      <c r="H6">
        <v>706.95248654578745</v>
      </c>
      <c r="I6">
        <v>19700</v>
      </c>
      <c r="J6">
        <v>18993.047513454214</v>
      </c>
    </row>
    <row r="7" spans="1:10">
      <c r="A7" s="8" t="s">
        <v>62</v>
      </c>
      <c r="C7" s="4">
        <v>12</v>
      </c>
      <c r="D7" s="4">
        <v>12</v>
      </c>
      <c r="E7"/>
      <c r="G7" s="8" t="s">
        <v>138</v>
      </c>
      <c r="H7">
        <v>549.47224708918429</v>
      </c>
      <c r="I7">
        <v>5348</v>
      </c>
      <c r="J7">
        <v>4798.5277529108153</v>
      </c>
    </row>
    <row r="8" spans="1:10">
      <c r="A8" s="13" t="s">
        <v>64</v>
      </c>
      <c r="C8" s="4">
        <v>12</v>
      </c>
      <c r="D8" s="4">
        <v>12</v>
      </c>
      <c r="E8"/>
      <c r="G8" s="8" t="s">
        <v>101</v>
      </c>
      <c r="H8">
        <v>323.82648924846558</v>
      </c>
      <c r="I8">
        <v>10032</v>
      </c>
      <c r="J8">
        <v>9708.1735107515342</v>
      </c>
    </row>
    <row r="9" spans="1:10">
      <c r="A9" s="8" t="s">
        <v>90</v>
      </c>
      <c r="B9" s="4">
        <v>18</v>
      </c>
      <c r="D9" s="4">
        <v>18</v>
      </c>
      <c r="E9"/>
      <c r="G9" s="8" t="s">
        <v>56</v>
      </c>
      <c r="H9">
        <v>1008.1632634061436</v>
      </c>
      <c r="I9">
        <v>34320</v>
      </c>
      <c r="J9">
        <v>33311.836736593854</v>
      </c>
    </row>
    <row r="10" spans="1:10">
      <c r="A10" s="13" t="s">
        <v>58</v>
      </c>
      <c r="B10" s="4">
        <v>13</v>
      </c>
      <c r="D10" s="4">
        <v>13</v>
      </c>
      <c r="E10"/>
      <c r="G10" s="8" t="s">
        <v>74</v>
      </c>
      <c r="H10">
        <v>1094.9005981324547</v>
      </c>
      <c r="I10">
        <v>10632</v>
      </c>
      <c r="J10">
        <v>9537.0994018675447</v>
      </c>
    </row>
    <row r="11" spans="1:10">
      <c r="A11" s="13" t="s">
        <v>38</v>
      </c>
      <c r="B11" s="4">
        <v>5</v>
      </c>
      <c r="D11" s="4">
        <v>5</v>
      </c>
      <c r="E11"/>
      <c r="G11" s="8" t="s">
        <v>111</v>
      </c>
      <c r="H11">
        <v>885.51957748218138</v>
      </c>
      <c r="I11">
        <v>8778</v>
      </c>
      <c r="J11">
        <v>7892.4804225178186</v>
      </c>
    </row>
    <row r="12" spans="1:10">
      <c r="A12" s="8" t="s">
        <v>138</v>
      </c>
      <c r="C12" s="4">
        <v>7</v>
      </c>
      <c r="D12" s="4">
        <v>7</v>
      </c>
      <c r="E12"/>
      <c r="G12" s="8" t="s">
        <v>160</v>
      </c>
      <c r="H12">
        <v>217.76147632369836</v>
      </c>
      <c r="I12">
        <v>142</v>
      </c>
      <c r="J12">
        <v>-75.761476323698361</v>
      </c>
    </row>
    <row r="13" spans="1:10">
      <c r="A13" s="13" t="s">
        <v>70</v>
      </c>
      <c r="C13" s="4">
        <v>7</v>
      </c>
      <c r="D13" s="4">
        <v>7</v>
      </c>
      <c r="E13"/>
      <c r="G13" s="8" t="s">
        <v>161</v>
      </c>
      <c r="H13">
        <v>606.8929846227303</v>
      </c>
      <c r="I13">
        <v>627</v>
      </c>
      <c r="J13">
        <v>20.107015377269704</v>
      </c>
    </row>
    <row r="14" spans="1:10">
      <c r="A14" s="8" t="s">
        <v>101</v>
      </c>
      <c r="B14" s="4">
        <v>8</v>
      </c>
      <c r="D14" s="4">
        <v>8</v>
      </c>
      <c r="E14"/>
      <c r="G14" s="8" t="s">
        <v>158</v>
      </c>
      <c r="H14">
        <v>125.15445574367972</v>
      </c>
      <c r="I14">
        <v>923</v>
      </c>
      <c r="J14">
        <v>797.8455442563203</v>
      </c>
    </row>
    <row r="15" spans="1:10">
      <c r="A15" s="13" t="s">
        <v>103</v>
      </c>
      <c r="B15" s="4">
        <v>8</v>
      </c>
      <c r="D15" s="4">
        <v>8</v>
      </c>
      <c r="E15"/>
      <c r="G15" s="8" t="s">
        <v>159</v>
      </c>
      <c r="H15">
        <v>435.44252865440018</v>
      </c>
      <c r="I15">
        <v>770</v>
      </c>
      <c r="J15">
        <v>334.55747134559982</v>
      </c>
    </row>
    <row r="16" spans="1:10">
      <c r="A16" s="8" t="s">
        <v>56</v>
      </c>
      <c r="B16" s="4">
        <v>12</v>
      </c>
      <c r="C16" s="4">
        <v>9</v>
      </c>
      <c r="D16" s="4">
        <v>21</v>
      </c>
      <c r="E16"/>
      <c r="G16" s="8" t="s">
        <v>162</v>
      </c>
      <c r="H16">
        <v>205.64710410198995</v>
      </c>
      <c r="I16">
        <v>371</v>
      </c>
      <c r="J16">
        <v>165.35289589801005</v>
      </c>
    </row>
    <row r="17" spans="1:10">
      <c r="A17" s="13" t="s">
        <v>58</v>
      </c>
      <c r="C17" s="4">
        <v>9</v>
      </c>
      <c r="D17" s="4">
        <v>9</v>
      </c>
      <c r="E17"/>
      <c r="G17" s="8" t="s">
        <v>163</v>
      </c>
      <c r="H17">
        <v>728.26481713559565</v>
      </c>
      <c r="I17">
        <v>991</v>
      </c>
      <c r="J17">
        <v>262.73518286440435</v>
      </c>
    </row>
    <row r="18" spans="1:10">
      <c r="A18" s="13" t="s">
        <v>147</v>
      </c>
      <c r="B18" s="4">
        <v>12</v>
      </c>
      <c r="D18" s="4">
        <v>12</v>
      </c>
      <c r="E18"/>
      <c r="G18" s="8" t="s">
        <v>96</v>
      </c>
      <c r="H18">
        <v>742.97067111563649</v>
      </c>
      <c r="I18">
        <v>2088</v>
      </c>
      <c r="J18">
        <v>1345.0293288843636</v>
      </c>
    </row>
    <row r="19" spans="1:10">
      <c r="A19" s="8" t="s">
        <v>74</v>
      </c>
      <c r="B19" s="4">
        <v>8</v>
      </c>
      <c r="C19" s="4">
        <v>15</v>
      </c>
      <c r="D19" s="4">
        <v>23</v>
      </c>
      <c r="E19"/>
      <c r="G19" s="8" t="s">
        <v>50</v>
      </c>
      <c r="H19">
        <v>942.90355914049769</v>
      </c>
      <c r="I19">
        <v>2596</v>
      </c>
      <c r="J19">
        <v>1653.0964408595023</v>
      </c>
    </row>
    <row r="20" spans="1:10">
      <c r="A20" s="13" t="s">
        <v>149</v>
      </c>
      <c r="C20" s="4">
        <v>7</v>
      </c>
      <c r="D20" s="4">
        <v>7</v>
      </c>
      <c r="E20"/>
      <c r="G20" s="8" t="s">
        <v>43</v>
      </c>
      <c r="H20">
        <v>1019.8097845227012</v>
      </c>
      <c r="I20">
        <v>4032</v>
      </c>
      <c r="J20">
        <v>3012.1902154772988</v>
      </c>
    </row>
    <row r="21" spans="1:10">
      <c r="A21" s="13" t="s">
        <v>150</v>
      </c>
      <c r="B21" s="4">
        <v>8</v>
      </c>
      <c r="D21" s="4">
        <v>8</v>
      </c>
      <c r="E21"/>
      <c r="G21" s="8" t="s">
        <v>36</v>
      </c>
      <c r="H21">
        <v>1259.0101816606721</v>
      </c>
      <c r="I21">
        <v>31488</v>
      </c>
      <c r="J21">
        <v>30228.989818339327</v>
      </c>
    </row>
    <row r="22" spans="1:10">
      <c r="A22" s="13" t="s">
        <v>76</v>
      </c>
      <c r="C22" s="4">
        <v>8</v>
      </c>
      <c r="D22" s="4">
        <v>8</v>
      </c>
      <c r="E22"/>
      <c r="G22" s="8" t="s">
        <v>80</v>
      </c>
      <c r="H22">
        <v>936.83300483794278</v>
      </c>
      <c r="I22">
        <v>27140</v>
      </c>
      <c r="J22">
        <v>26203.166995162057</v>
      </c>
    </row>
    <row r="23" spans="1:10">
      <c r="A23" s="8" t="s">
        <v>111</v>
      </c>
      <c r="B23" s="4">
        <v>11</v>
      </c>
      <c r="D23" s="4">
        <v>11</v>
      </c>
      <c r="E23"/>
      <c r="G23" s="8" t="s">
        <v>68</v>
      </c>
      <c r="H23">
        <v>1390.470583108968</v>
      </c>
      <c r="I23">
        <v>14850</v>
      </c>
      <c r="J23">
        <v>13459.529416891031</v>
      </c>
    </row>
    <row r="24" spans="1:10">
      <c r="A24" s="13" t="s">
        <v>148</v>
      </c>
      <c r="B24" s="4">
        <v>11</v>
      </c>
      <c r="D24" s="4">
        <v>11</v>
      </c>
      <c r="E24"/>
      <c r="G24" s="8" t="s">
        <v>167</v>
      </c>
      <c r="H24">
        <v>13878.310762407544</v>
      </c>
      <c r="I24">
        <v>182404</v>
      </c>
      <c r="J24">
        <v>168525.68923759242</v>
      </c>
    </row>
    <row r="25" spans="1:10">
      <c r="A25" s="8" t="s">
        <v>160</v>
      </c>
      <c r="B25" s="4">
        <v>1</v>
      </c>
      <c r="D25" s="4">
        <v>1</v>
      </c>
      <c r="E25"/>
    </row>
    <row r="26" spans="1:10">
      <c r="A26" s="13" t="s">
        <v>147</v>
      </c>
      <c r="B26" s="4">
        <v>1</v>
      </c>
      <c r="D26" s="4">
        <v>1</v>
      </c>
      <c r="E26"/>
    </row>
    <row r="27" spans="1:10">
      <c r="A27" s="8" t="s">
        <v>161</v>
      </c>
      <c r="B27" s="4">
        <v>1</v>
      </c>
      <c r="D27" s="4">
        <v>1</v>
      </c>
      <c r="E27"/>
    </row>
    <row r="28" spans="1:10">
      <c r="A28" s="13" t="s">
        <v>52</v>
      </c>
      <c r="B28" s="4">
        <v>1</v>
      </c>
      <c r="D28" s="4">
        <v>1</v>
      </c>
      <c r="E28"/>
    </row>
    <row r="29" spans="1:10">
      <c r="A29" s="8" t="s">
        <v>158</v>
      </c>
      <c r="C29" s="4">
        <v>1</v>
      </c>
      <c r="D29" s="4">
        <v>1</v>
      </c>
      <c r="E29"/>
    </row>
    <row r="30" spans="1:10">
      <c r="A30" s="13" t="s">
        <v>179</v>
      </c>
      <c r="C30" s="4">
        <v>1</v>
      </c>
      <c r="D30" s="4">
        <v>1</v>
      </c>
      <c r="E30"/>
    </row>
    <row r="31" spans="1:10">
      <c r="A31" s="8" t="s">
        <v>159</v>
      </c>
      <c r="C31" s="4">
        <v>1</v>
      </c>
      <c r="D31" s="4">
        <v>1</v>
      </c>
      <c r="E31"/>
    </row>
    <row r="32" spans="1:10">
      <c r="A32" s="13" t="s">
        <v>38</v>
      </c>
      <c r="C32" s="4">
        <v>1</v>
      </c>
      <c r="D32" s="4">
        <v>1</v>
      </c>
      <c r="E32"/>
    </row>
    <row r="33" spans="1:5">
      <c r="A33" s="8" t="s">
        <v>162</v>
      </c>
      <c r="B33" s="4">
        <v>1</v>
      </c>
      <c r="D33" s="4">
        <v>1</v>
      </c>
      <c r="E33"/>
    </row>
    <row r="34" spans="1:5">
      <c r="A34" s="13" t="s">
        <v>117</v>
      </c>
      <c r="B34" s="4">
        <v>1</v>
      </c>
      <c r="D34" s="4">
        <v>1</v>
      </c>
      <c r="E34"/>
    </row>
    <row r="35" spans="1:5">
      <c r="A35" s="8" t="s">
        <v>163</v>
      </c>
      <c r="C35" s="4">
        <v>1</v>
      </c>
      <c r="D35" s="4">
        <v>1</v>
      </c>
      <c r="E35"/>
    </row>
    <row r="36" spans="1:5">
      <c r="A36" s="13" t="s">
        <v>82</v>
      </c>
      <c r="C36" s="4">
        <v>1</v>
      </c>
      <c r="D36" s="4">
        <v>1</v>
      </c>
      <c r="E36"/>
    </row>
    <row r="37" spans="1:5">
      <c r="A37" s="8" t="s">
        <v>96</v>
      </c>
      <c r="B37" s="4">
        <v>12</v>
      </c>
      <c r="D37" s="4">
        <v>12</v>
      </c>
      <c r="E37"/>
    </row>
    <row r="38" spans="1:5">
      <c r="A38" s="13" t="s">
        <v>58</v>
      </c>
      <c r="B38" s="4">
        <v>12</v>
      </c>
      <c r="D38" s="4">
        <v>12</v>
      </c>
      <c r="E38"/>
    </row>
    <row r="39" spans="1:5">
      <c r="A39" s="8" t="s">
        <v>50</v>
      </c>
      <c r="B39" s="4">
        <v>11</v>
      </c>
      <c r="D39" s="4">
        <v>11</v>
      </c>
      <c r="E39"/>
    </row>
    <row r="40" spans="1:5">
      <c r="A40" s="13" t="s">
        <v>52</v>
      </c>
      <c r="B40" s="4">
        <v>11</v>
      </c>
      <c r="D40" s="4">
        <v>11</v>
      </c>
      <c r="E40"/>
    </row>
    <row r="41" spans="1:5">
      <c r="A41" s="8" t="s">
        <v>43</v>
      </c>
      <c r="C41" s="4">
        <v>12</v>
      </c>
      <c r="D41" s="4">
        <v>12</v>
      </c>
      <c r="E41"/>
    </row>
    <row r="42" spans="1:5">
      <c r="A42" s="13" t="s">
        <v>117</v>
      </c>
      <c r="C42" s="4">
        <v>12</v>
      </c>
      <c r="D42" s="4">
        <v>12</v>
      </c>
      <c r="E42"/>
    </row>
    <row r="43" spans="1:5">
      <c r="A43" s="8" t="s">
        <v>36</v>
      </c>
      <c r="B43" s="4">
        <v>10</v>
      </c>
      <c r="C43" s="4">
        <v>13</v>
      </c>
      <c r="D43" s="4">
        <v>23</v>
      </c>
      <c r="E43"/>
    </row>
    <row r="44" spans="1:5">
      <c r="A44" s="13" t="s">
        <v>38</v>
      </c>
      <c r="B44" s="4">
        <v>10</v>
      </c>
      <c r="D44" s="4">
        <v>10</v>
      </c>
      <c r="E44"/>
    </row>
    <row r="45" spans="1:5">
      <c r="A45" s="13" t="s">
        <v>117</v>
      </c>
      <c r="C45" s="4">
        <v>13</v>
      </c>
      <c r="D45" s="4">
        <v>13</v>
      </c>
      <c r="E45"/>
    </row>
    <row r="46" spans="1:5">
      <c r="A46" s="8" t="s">
        <v>80</v>
      </c>
      <c r="B46" s="4">
        <v>20</v>
      </c>
      <c r="D46" s="4">
        <v>20</v>
      </c>
      <c r="E46"/>
    </row>
    <row r="47" spans="1:5">
      <c r="A47" s="13" t="s">
        <v>82</v>
      </c>
      <c r="B47" s="4">
        <v>7</v>
      </c>
      <c r="D47" s="4">
        <v>7</v>
      </c>
      <c r="E47"/>
    </row>
    <row r="48" spans="1:5">
      <c r="A48" s="13" t="s">
        <v>146</v>
      </c>
      <c r="B48" s="4">
        <v>13</v>
      </c>
      <c r="D48" s="4">
        <v>13</v>
      </c>
      <c r="E48"/>
    </row>
    <row r="49" spans="1:5">
      <c r="A49" s="8" t="s">
        <v>68</v>
      </c>
      <c r="B49" s="4">
        <v>15</v>
      </c>
      <c r="D49" s="4">
        <v>15</v>
      </c>
      <c r="E49"/>
    </row>
    <row r="50" spans="1:5">
      <c r="A50" s="13" t="s">
        <v>70</v>
      </c>
      <c r="B50" s="4">
        <v>15</v>
      </c>
      <c r="D50" s="4">
        <v>15</v>
      </c>
      <c r="E50"/>
    </row>
    <row r="51" spans="1:5">
      <c r="A51" s="8" t="s">
        <v>167</v>
      </c>
      <c r="B51" s="4">
        <v>128</v>
      </c>
      <c r="C51" s="4">
        <v>78</v>
      </c>
      <c r="D51" s="4">
        <v>206</v>
      </c>
      <c r="E51"/>
    </row>
    <row r="52" spans="1:5">
      <c r="B52"/>
      <c r="C52"/>
      <c r="D52"/>
      <c r="E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CCA7E-026B-4015-BEB2-4E6598899A6D}">
  <sheetPr codeName="Sheet5"/>
  <dimension ref="A1:W31"/>
  <sheetViews>
    <sheetView tabSelected="1" topLeftCell="A3" workbookViewId="0">
      <selection activeCell="Y32" sqref="Y32"/>
    </sheetView>
  </sheetViews>
  <sheetFormatPr defaultRowHeight="15"/>
  <cols>
    <col min="1" max="3" width="9.140625" style="4"/>
    <col min="7" max="7" width="9.7109375" bestFit="1" customWidth="1"/>
    <col min="15" max="15" width="9.28515625" customWidth="1"/>
    <col min="19" max="19" width="10.7109375" customWidth="1"/>
    <col min="21" max="21" width="9.140625" style="4"/>
  </cols>
  <sheetData>
    <row r="1" spans="1:23" s="4" customFormat="1" ht="15.75" thickBot="1">
      <c r="C1" s="4" t="s">
        <v>187</v>
      </c>
      <c r="D1" s="4" t="str">
        <f>CHAR(CODE(C$1) + 1)</f>
        <v>B</v>
      </c>
      <c r="E1" s="4" t="str">
        <f t="shared" ref="E1:G1" si="0">CHAR(CODE(D$1) + 1)</f>
        <v>C</v>
      </c>
      <c r="F1" s="4" t="str">
        <f t="shared" si="0"/>
        <v>D</v>
      </c>
      <c r="G1" s="4" t="str">
        <f t="shared" si="0"/>
        <v>E</v>
      </c>
      <c r="H1" s="4" t="str">
        <f>CHAR(CODE(G$1) + 1)</f>
        <v>F</v>
      </c>
    </row>
    <row r="2" spans="1:23" ht="15.75" thickBot="1">
      <c r="C2" s="24" t="str">
        <f ca="1">CHAR(RANDBETWEEN(97,122))</f>
        <v>y</v>
      </c>
      <c r="D2" s="4" t="str">
        <f ca="1">CHAR(RANDBETWEEN(97,122))</f>
        <v>r</v>
      </c>
      <c r="E2">
        <f ca="1">RAND()</f>
        <v>0.21887443780522664</v>
      </c>
      <c r="F2">
        <f ca="1">RAND()</f>
        <v>0.9735903617513747</v>
      </c>
      <c r="G2">
        <f ca="1">RAND()</f>
        <v>0.66789885271868688</v>
      </c>
      <c r="J2" s="15" t="s">
        <v>188</v>
      </c>
      <c r="K2" s="16"/>
      <c r="L2" s="16"/>
      <c r="M2" s="17"/>
      <c r="O2" s="26" t="s">
        <v>198</v>
      </c>
      <c r="P2" s="27"/>
      <c r="Q2" s="27"/>
      <c r="R2" s="37" t="s">
        <v>201</v>
      </c>
      <c r="S2" s="38"/>
    </row>
    <row r="3" spans="1:23">
      <c r="C3" s="24" t="str">
        <f t="shared" ref="C3:D15" ca="1" si="1">CHAR(RANDBETWEEN(97,122))</f>
        <v>r</v>
      </c>
      <c r="D3" s="4" t="str">
        <f t="shared" ca="1" si="1"/>
        <v>g</v>
      </c>
      <c r="E3">
        <f t="shared" ref="E3:G15" ca="1" si="2">RAND()</f>
        <v>0.87646861130801801</v>
      </c>
      <c r="F3">
        <f t="shared" ca="1" si="2"/>
        <v>0.94064337150201671</v>
      </c>
      <c r="G3">
        <f t="shared" ca="1" si="2"/>
        <v>0.45856582097820864</v>
      </c>
      <c r="J3" s="18" t="s">
        <v>189</v>
      </c>
      <c r="K3" s="19"/>
      <c r="L3" s="19"/>
      <c r="M3" s="20"/>
      <c r="O3" s="28" t="s">
        <v>202</v>
      </c>
      <c r="P3" s="29" t="s">
        <v>203</v>
      </c>
      <c r="Q3" s="35" t="s">
        <v>204</v>
      </c>
      <c r="R3" s="30" t="s">
        <v>199</v>
      </c>
      <c r="S3" s="39" t="s">
        <v>202</v>
      </c>
      <c r="W3" s="46"/>
    </row>
    <row r="4" spans="1:23" ht="15.75" thickBot="1">
      <c r="C4" s="24" t="str">
        <f t="shared" ca="1" si="1"/>
        <v>o</v>
      </c>
      <c r="D4" s="4" t="str">
        <f t="shared" ca="1" si="1"/>
        <v>t</v>
      </c>
      <c r="E4">
        <f t="shared" ca="1" si="2"/>
        <v>0.65971222853374745</v>
      </c>
      <c r="F4">
        <f t="shared" ca="1" si="2"/>
        <v>0.12764450906599167</v>
      </c>
      <c r="G4">
        <f t="shared" ca="1" si="2"/>
        <v>0.99869067609655104</v>
      </c>
      <c r="J4" s="18" t="s">
        <v>190</v>
      </c>
      <c r="K4" s="19"/>
      <c r="L4" s="19"/>
      <c r="M4" s="20"/>
      <c r="O4" s="30" t="s">
        <v>82</v>
      </c>
      <c r="P4" s="25" t="s">
        <v>192</v>
      </c>
      <c r="Q4" s="36">
        <v>7</v>
      </c>
      <c r="R4" s="32" t="s">
        <v>200</v>
      </c>
      <c r="S4" s="40" t="s">
        <v>185</v>
      </c>
      <c r="W4" s="46"/>
    </row>
    <row r="5" spans="1:23">
      <c r="C5" s="24" t="str">
        <f t="shared" ca="1" si="1"/>
        <v>x</v>
      </c>
      <c r="D5" s="4" t="str">
        <f t="shared" ca="1" si="1"/>
        <v>t</v>
      </c>
      <c r="E5">
        <f t="shared" ca="1" si="2"/>
        <v>0.90882128743076318</v>
      </c>
      <c r="F5">
        <f t="shared" ca="1" si="2"/>
        <v>0.71051471379680209</v>
      </c>
      <c r="G5">
        <f t="shared" ca="1" si="2"/>
        <v>0.80859209512905672</v>
      </c>
      <c r="J5" s="18" t="s">
        <v>191</v>
      </c>
      <c r="K5" s="19"/>
      <c r="L5" s="19"/>
      <c r="M5" s="20"/>
      <c r="O5" s="30" t="s">
        <v>185</v>
      </c>
      <c r="P5" s="25" t="s">
        <v>197</v>
      </c>
      <c r="Q5" s="31">
        <v>8</v>
      </c>
      <c r="W5" s="46"/>
    </row>
    <row r="6" spans="1:23">
      <c r="C6" s="24" t="str">
        <f t="shared" ca="1" si="1"/>
        <v>p</v>
      </c>
      <c r="D6" s="4" t="str">
        <f t="shared" ca="1" si="1"/>
        <v>o</v>
      </c>
      <c r="E6">
        <f t="shared" ca="1" si="2"/>
        <v>0.54409606553624867</v>
      </c>
      <c r="F6">
        <f t="shared" ca="1" si="2"/>
        <v>0.79646555822545539</v>
      </c>
      <c r="G6">
        <f t="shared" ca="1" si="2"/>
        <v>0.46426628871734132</v>
      </c>
      <c r="J6" s="18"/>
      <c r="K6" s="19"/>
      <c r="L6" s="19"/>
      <c r="M6" s="20"/>
      <c r="O6" s="30" t="s">
        <v>186</v>
      </c>
      <c r="P6" s="25" t="s">
        <v>193</v>
      </c>
      <c r="Q6" s="31">
        <v>9</v>
      </c>
      <c r="W6" s="46"/>
    </row>
    <row r="7" spans="1:23">
      <c r="C7" s="24" t="str">
        <f t="shared" ca="1" si="1"/>
        <v>r</v>
      </c>
      <c r="D7" s="4" t="str">
        <f t="shared" ca="1" si="1"/>
        <v>t</v>
      </c>
      <c r="E7">
        <f t="shared" ca="1" si="2"/>
        <v>0.9213143283051769</v>
      </c>
      <c r="F7">
        <f t="shared" ca="1" si="2"/>
        <v>0.11687667547383807</v>
      </c>
      <c r="G7">
        <f t="shared" ca="1" si="2"/>
        <v>3.4605592691098086E-2</v>
      </c>
      <c r="J7" s="18"/>
      <c r="K7" s="19"/>
      <c r="L7" s="19"/>
      <c r="M7" s="20"/>
      <c r="O7" s="30"/>
      <c r="P7" s="25" t="s">
        <v>38</v>
      </c>
      <c r="Q7" s="31">
        <v>10</v>
      </c>
      <c r="W7" s="46"/>
    </row>
    <row r="8" spans="1:23" ht="15.75" thickBot="1">
      <c r="C8" s="24" t="str">
        <f t="shared" ca="1" si="1"/>
        <v>z</v>
      </c>
      <c r="D8" s="4" t="str">
        <f t="shared" ca="1" si="1"/>
        <v>h</v>
      </c>
      <c r="E8">
        <f t="shared" ca="1" si="2"/>
        <v>0.94161732046642599</v>
      </c>
      <c r="F8">
        <f t="shared" ca="1" si="2"/>
        <v>0.66341384874994425</v>
      </c>
      <c r="G8">
        <f t="shared" ca="1" si="2"/>
        <v>0.47623980157271473</v>
      </c>
      <c r="J8" s="18"/>
      <c r="L8" s="19"/>
      <c r="M8" s="20"/>
      <c r="O8" s="32"/>
      <c r="P8" s="33"/>
      <c r="Q8" s="34">
        <v>11</v>
      </c>
      <c r="W8" s="46"/>
    </row>
    <row r="9" spans="1:23">
      <c r="C9" s="24" t="str">
        <f t="shared" ca="1" si="1"/>
        <v>d</v>
      </c>
      <c r="D9" s="4" t="str">
        <f t="shared" ca="1" si="1"/>
        <v>i</v>
      </c>
      <c r="E9">
        <f t="shared" ca="1" si="2"/>
        <v>0.95507020104540863</v>
      </c>
      <c r="F9">
        <f t="shared" ca="1" si="2"/>
        <v>0.43580850327189935</v>
      </c>
      <c r="G9">
        <f t="shared" ca="1" si="2"/>
        <v>0.18934260671852821</v>
      </c>
      <c r="J9" s="18"/>
      <c r="K9" s="19"/>
      <c r="L9" s="19"/>
      <c r="M9" s="20"/>
      <c r="W9" s="46"/>
    </row>
    <row r="10" spans="1:23" ht="15.75" thickBot="1">
      <c r="C10" s="24" t="str">
        <f t="shared" ca="1" si="1"/>
        <v>a</v>
      </c>
      <c r="D10" s="4" t="str">
        <f t="shared" ca="1" si="1"/>
        <v>b</v>
      </c>
      <c r="E10">
        <f t="shared" ca="1" si="2"/>
        <v>0.21787078557300943</v>
      </c>
      <c r="F10">
        <f t="shared" ca="1" si="2"/>
        <v>0.65362610217506156</v>
      </c>
      <c r="G10">
        <f t="shared" ca="1" si="2"/>
        <v>0.66798321306924446</v>
      </c>
      <c r="J10" s="18"/>
      <c r="K10" s="19"/>
      <c r="L10" s="19"/>
      <c r="M10" s="20"/>
      <c r="W10" s="46"/>
    </row>
    <row r="11" spans="1:23">
      <c r="C11" s="24" t="str">
        <f t="shared" ca="1" si="1"/>
        <v>o</v>
      </c>
      <c r="D11" s="4" t="str">
        <f t="shared" ca="1" si="1"/>
        <v>n</v>
      </c>
      <c r="E11">
        <f t="shared" ca="1" si="2"/>
        <v>0.47484606607923285</v>
      </c>
      <c r="F11">
        <f t="shared" ca="1" si="2"/>
        <v>0.8485106364146483</v>
      </c>
      <c r="G11">
        <f t="shared" ca="1" si="2"/>
        <v>0.13844351515420228</v>
      </c>
      <c r="J11" s="18"/>
      <c r="K11" s="19"/>
      <c r="L11" s="19"/>
      <c r="M11" s="20"/>
      <c r="O11" s="37" t="s">
        <v>205</v>
      </c>
      <c r="P11" s="43"/>
      <c r="Q11" s="43"/>
      <c r="R11" s="44">
        <v>2</v>
      </c>
      <c r="W11" s="46"/>
    </row>
    <row r="12" spans="1:23">
      <c r="C12" s="24" t="str">
        <f t="shared" ca="1" si="1"/>
        <v>p</v>
      </c>
      <c r="D12" s="4" t="str">
        <f t="shared" ca="1" si="1"/>
        <v>g</v>
      </c>
      <c r="E12">
        <f t="shared" ca="1" si="2"/>
        <v>0.9985471885567333</v>
      </c>
      <c r="F12">
        <f t="shared" ca="1" si="2"/>
        <v>0.88860202493862739</v>
      </c>
      <c r="G12">
        <f t="shared" ca="1" si="2"/>
        <v>1.9591569121363173E-2</v>
      </c>
      <c r="J12" s="18"/>
      <c r="K12" s="19"/>
      <c r="L12" s="19"/>
      <c r="M12" s="20"/>
      <c r="O12" s="30">
        <v>1</v>
      </c>
      <c r="P12" s="25">
        <f ca="1">RANDBETWEEN(0,10)</f>
        <v>2</v>
      </c>
      <c r="Q12" s="25">
        <f t="shared" ref="Q12:R12" ca="1" si="3">RANDBETWEEN(0,10)</f>
        <v>9</v>
      </c>
      <c r="R12" s="31">
        <f t="shared" ca="1" si="3"/>
        <v>4</v>
      </c>
      <c r="W12" s="46"/>
    </row>
    <row r="13" spans="1:23" ht="15.75" thickBot="1">
      <c r="C13" s="24" t="str">
        <f t="shared" ca="1" si="1"/>
        <v>r</v>
      </c>
      <c r="D13" s="4" t="str">
        <f t="shared" ca="1" si="1"/>
        <v>w</v>
      </c>
      <c r="E13">
        <f t="shared" ca="1" si="2"/>
        <v>0.59655609287363554</v>
      </c>
      <c r="F13">
        <f t="shared" ca="1" si="2"/>
        <v>0.20276830740414442</v>
      </c>
      <c r="G13">
        <f t="shared" ca="1" si="2"/>
        <v>0.26151666659958595</v>
      </c>
      <c r="J13" s="18"/>
      <c r="K13" s="19"/>
      <c r="L13" s="19"/>
      <c r="M13" s="20"/>
      <c r="O13" s="45" t="s">
        <v>206</v>
      </c>
      <c r="P13" s="41">
        <f ca="1">SUM(O12:OFFSET(O12,0,R11))</f>
        <v>12</v>
      </c>
      <c r="Q13" s="41"/>
      <c r="R13" s="42"/>
      <c r="W13" s="46"/>
    </row>
    <row r="14" spans="1:23" ht="15.75" thickBot="1">
      <c r="C14" s="24" t="str">
        <f t="shared" ca="1" si="1"/>
        <v>r</v>
      </c>
      <c r="D14" s="4" t="str">
        <f t="shared" ca="1" si="1"/>
        <v>k</v>
      </c>
      <c r="E14">
        <f t="shared" ca="1" si="2"/>
        <v>0.60504676851952166</v>
      </c>
      <c r="F14">
        <f t="shared" ca="1" si="2"/>
        <v>5.6900027949265408E-2</v>
      </c>
      <c r="G14">
        <f t="shared" ca="1" si="2"/>
        <v>0.88120243965939149</v>
      </c>
      <c r="J14" s="18"/>
      <c r="K14" s="19"/>
      <c r="L14" s="19"/>
      <c r="M14" s="20"/>
      <c r="W14" s="46"/>
    </row>
    <row r="15" spans="1:23" ht="15.75" thickBot="1">
      <c r="C15" s="24" t="str">
        <f t="shared" ca="1" si="1"/>
        <v>b</v>
      </c>
      <c r="D15" s="4" t="str">
        <f t="shared" ca="1" si="1"/>
        <v>m</v>
      </c>
      <c r="E15">
        <f t="shared" ca="1" si="2"/>
        <v>0.18766310083136784</v>
      </c>
      <c r="F15">
        <f t="shared" ca="1" si="2"/>
        <v>0.33020100561544585</v>
      </c>
      <c r="G15">
        <f t="shared" ca="1" si="2"/>
        <v>0.50452976259275284</v>
      </c>
      <c r="J15" s="21"/>
      <c r="K15" s="22"/>
      <c r="L15" s="22"/>
      <c r="M15" s="23"/>
      <c r="O15" s="37" t="s">
        <v>208</v>
      </c>
      <c r="P15" s="43"/>
      <c r="Q15" s="43"/>
      <c r="R15" s="43"/>
      <c r="S15" s="38"/>
      <c r="W15" s="46"/>
    </row>
    <row r="16" spans="1:23" ht="15.75" thickBot="1">
      <c r="A16" s="47"/>
      <c r="B16" s="47"/>
      <c r="C16" s="47"/>
      <c r="D16" s="47"/>
      <c r="E16" s="47"/>
      <c r="F16" s="47"/>
      <c r="G16" s="47"/>
      <c r="H16" s="47"/>
      <c r="I16" s="47"/>
      <c r="J16" s="47"/>
      <c r="O16" s="30" t="s">
        <v>207</v>
      </c>
      <c r="P16" s="25">
        <v>1</v>
      </c>
      <c r="Q16" s="25">
        <f ca="1">RANDBETWEEN(0,10)</f>
        <v>5</v>
      </c>
      <c r="R16" s="25">
        <f t="shared" ref="R16:S16" ca="1" si="4">RANDBETWEEN(0,10)</f>
        <v>4</v>
      </c>
      <c r="S16" s="31">
        <f t="shared" ca="1" si="4"/>
        <v>7</v>
      </c>
    </row>
    <row r="17" spans="1:19" ht="15.75" thickBot="1">
      <c r="A17" s="47"/>
      <c r="B17" s="47"/>
      <c r="C17" s="37" t="s">
        <v>219</v>
      </c>
      <c r="D17" s="43"/>
      <c r="E17" s="43"/>
      <c r="F17" s="43"/>
      <c r="G17" s="43"/>
      <c r="H17" s="38"/>
      <c r="I17" s="47"/>
      <c r="J17" s="52"/>
      <c r="K17" s="54" t="s">
        <v>212</v>
      </c>
      <c r="L17" s="55" t="s">
        <v>213</v>
      </c>
      <c r="M17" s="47"/>
      <c r="O17" s="32">
        <f ca="1">CHOOSE(RANDBETWEEN(1,COUNTA($P$16:$S$16)),$P$16,$Q$16,$R$16,$S$16)</f>
        <v>5</v>
      </c>
      <c r="P17" s="33">
        <f t="shared" ref="P17:S17" ca="1" si="5">CHOOSE(RANDBETWEEN(1,COUNTA($P$16:$S$16)),$P$16,$Q$16,$R$16,$S$16)</f>
        <v>7</v>
      </c>
      <c r="Q17" s="33">
        <f t="shared" ca="1" si="5"/>
        <v>7</v>
      </c>
      <c r="R17" s="33">
        <f t="shared" ca="1" si="5"/>
        <v>5</v>
      </c>
      <c r="S17" s="34">
        <f t="shared" ca="1" si="5"/>
        <v>4</v>
      </c>
    </row>
    <row r="18" spans="1:19">
      <c r="A18" s="47"/>
      <c r="B18" s="47"/>
      <c r="C18" s="56"/>
      <c r="D18" s="25" t="str">
        <f ca="1">CHAR(RANDBETWEEN(97,122))</f>
        <v>m</v>
      </c>
      <c r="E18" s="25" t="str">
        <f t="shared" ref="E18:H18" ca="1" si="6">CHAR(RANDBETWEEN(97,122))</f>
        <v>m</v>
      </c>
      <c r="F18" s="25" t="str">
        <f t="shared" ca="1" si="6"/>
        <v>y</v>
      </c>
      <c r="G18" s="25" t="str">
        <f t="shared" ca="1" si="6"/>
        <v>y</v>
      </c>
      <c r="H18" s="31" t="str">
        <f t="shared" ca="1" si="6"/>
        <v>o</v>
      </c>
      <c r="I18" s="47"/>
      <c r="J18" s="53" t="s">
        <v>209</v>
      </c>
      <c r="K18" s="43" t="str">
        <f>LEFT(L17,2)</f>
        <v>de</v>
      </c>
      <c r="L18" s="38"/>
    </row>
    <row r="19" spans="1:19">
      <c r="A19" s="47"/>
      <c r="B19" s="47"/>
      <c r="C19" s="56" t="s">
        <v>194</v>
      </c>
      <c r="D19" s="25" t="str" cm="1">
        <f t="array" aca="1" ref="D19" ca="1">IFERROR(MATCH(CODE(D$18),CODE($C$1:$C$15),0),"X")</f>
        <v>X</v>
      </c>
      <c r="E19" s="25" t="str" cm="1">
        <f t="array" aca="1" ref="E19" ca="1">IFERROR(MATCH(CODE(E$18),CODE($C$1:$C$15),0),"X")</f>
        <v>X</v>
      </c>
      <c r="F19" s="25" cm="1">
        <f t="array" aca="1" ref="F19" ca="1">IFERROR(MATCH(CODE(F$18),CODE($C$1:$C$15),0),"X")</f>
        <v>2</v>
      </c>
      <c r="G19" s="25" cm="1">
        <f t="array" aca="1" ref="G19" ca="1">IFERROR(MATCH(CODE(G$18),CODE($C$1:$C$15),0),"X")</f>
        <v>2</v>
      </c>
      <c r="H19" s="31" cm="1">
        <f t="array" aca="1" ref="H19" ca="1">IFERROR(MATCH(CODE(H$18),CODE($C$1:$C$15),0),"X")</f>
        <v>4</v>
      </c>
      <c r="I19" s="47"/>
      <c r="J19" s="56" t="s">
        <v>211</v>
      </c>
      <c r="K19" s="50" t="str">
        <f>MID(L17,2,2)</f>
        <v>em</v>
      </c>
      <c r="L19" s="51"/>
    </row>
    <row r="20" spans="1:19">
      <c r="A20" s="47"/>
      <c r="B20" s="47"/>
      <c r="C20" s="56" t="s">
        <v>195</v>
      </c>
      <c r="D20" s="25" cm="1">
        <f t="array" aca="1" ref="D20" ca="1">IFERROR(MATCH(CODE(D$18),CODE($D$1:$D$15),0),"X")</f>
        <v>15</v>
      </c>
      <c r="E20" s="25" cm="1">
        <f t="array" aca="1" ref="E20" ca="1">IFERROR(MATCH(CODE(E$18),CODE($D$1:$D$15),0),"X")</f>
        <v>15</v>
      </c>
      <c r="F20" s="25" t="str" cm="1">
        <f t="array" aca="1" ref="F20" ca="1">IFERROR(MATCH(CODE(F$18),CODE($D$1:$D$15),0),"X")</f>
        <v>X</v>
      </c>
      <c r="G20" s="25" t="str" cm="1">
        <f t="array" aca="1" ref="G20" ca="1">IFERROR(MATCH(CODE(G$18),CODE($D$1:$D$15),0),"X")</f>
        <v>X</v>
      </c>
      <c r="H20" s="31" cm="1">
        <f t="array" aca="1" ref="H20" ca="1">IFERROR(MATCH(CODE(H$18),CODE($D$1:$D$15),0),"X")</f>
        <v>6</v>
      </c>
      <c r="I20" s="47"/>
      <c r="J20" s="56" t="s">
        <v>210</v>
      </c>
      <c r="K20" s="50" t="str">
        <f>RIGHT(L17,2)</f>
        <v>mo</v>
      </c>
      <c r="L20" s="51"/>
      <c r="O20" s="24"/>
      <c r="P20" s="24"/>
      <c r="Q20" s="24"/>
      <c r="R20" s="24"/>
      <c r="S20" s="24"/>
    </row>
    <row r="21" spans="1:19" ht="15.75" thickBot="1">
      <c r="A21" s="47"/>
      <c r="B21" s="47"/>
      <c r="C21" s="60" t="s">
        <v>196</v>
      </c>
      <c r="D21" s="33" t="str" cm="1">
        <f t="array" aca="1" ref="D21" ca="1" xml:space="preserve">  IF(COUNTIF(D$19:D$20, "X") = 0,
INDEX($C$1:$C$15,D$19),
"X")</f>
        <v>X</v>
      </c>
      <c r="E21" s="33" t="str" cm="1">
        <f t="array" aca="1" ref="E21" ca="1" xml:space="preserve">  IF(COUNTIF(E$19:E$20, "X") = 0,
INDEX($C$1:$C$15,E$19),
"X")</f>
        <v>X</v>
      </c>
      <c r="F21" s="33" t="str" cm="1">
        <f t="array" aca="1" ref="F21" ca="1" xml:space="preserve">  IF(COUNTIF(F$19:F$20, "X") = 0,
INDEX($C$1:$C$15,F$19),
"X")</f>
        <v>X</v>
      </c>
      <c r="G21" s="33" t="str" cm="1">
        <f t="array" aca="1" ref="G21" ca="1" xml:space="preserve">  IF(COUNTIF(G$19:G$20, "X") = 0,
INDEX($C$1:$C$15,G$19),
"X")</f>
        <v>X</v>
      </c>
      <c r="H21" s="34" t="str" cm="1">
        <f t="array" aca="1" ref="H21" ca="1" xml:space="preserve">  IF(COUNTIF(H$19:H$20, "X") = 0,
INDEX($C$1:$C$15,H$19),
"X")</f>
        <v>o</v>
      </c>
      <c r="I21" s="47"/>
      <c r="J21" s="57" t="s">
        <v>215</v>
      </c>
      <c r="K21" s="49">
        <f>LEN(K17)</f>
        <v>6</v>
      </c>
      <c r="L21" s="39">
        <f>LEN(L17)</f>
        <v>4</v>
      </c>
      <c r="O21" s="24"/>
      <c r="P21" s="24"/>
      <c r="Q21" s="24"/>
      <c r="R21" s="24"/>
      <c r="S21" s="24"/>
    </row>
    <row r="22" spans="1:19" ht="15.75" thickBot="1">
      <c r="A22" s="47"/>
      <c r="B22" s="47"/>
      <c r="C22" s="47"/>
      <c r="D22" s="47"/>
      <c r="E22" s="47"/>
      <c r="F22" s="47"/>
      <c r="G22" s="47"/>
      <c r="H22" s="47"/>
      <c r="I22" s="47"/>
      <c r="J22" s="57" t="s">
        <v>216</v>
      </c>
      <c r="K22" s="49">
        <f>FIND("ri",K17)</f>
        <v>3</v>
      </c>
      <c r="L22" s="39">
        <f>FIND("em",L17)</f>
        <v>2</v>
      </c>
      <c r="O22" s="24"/>
      <c r="P22" s="24"/>
      <c r="Q22" s="24"/>
      <c r="R22" s="24"/>
      <c r="S22" s="24"/>
    </row>
    <row r="23" spans="1:19">
      <c r="A23" s="47"/>
      <c r="B23" s="47"/>
      <c r="C23" s="37" t="s">
        <v>220</v>
      </c>
      <c r="D23" s="43"/>
      <c r="E23" s="43"/>
      <c r="F23" s="43"/>
      <c r="G23" s="43"/>
      <c r="H23" s="38"/>
      <c r="I23" s="47"/>
      <c r="J23" s="56" t="s">
        <v>214</v>
      </c>
      <c r="K23" s="50" t="str">
        <f>_xlfn.CONCAT(" ",K17,"     ",L17," ")</f>
        <v xml:space="preserve"> string     demo </v>
      </c>
      <c r="L23" s="51"/>
      <c r="O23" s="24"/>
      <c r="P23" s="24"/>
      <c r="Q23" s="24"/>
      <c r="R23" s="24"/>
      <c r="S23" s="24"/>
    </row>
    <row r="24" spans="1:19" ht="15.75" thickBot="1">
      <c r="A24" s="47"/>
      <c r="B24" s="47"/>
      <c r="C24" s="30"/>
      <c r="D24" s="61" t="str">
        <f ca="1">CHAR(RANDBETWEEN(97,122))</f>
        <v>l</v>
      </c>
      <c r="E24" s="61" t="str">
        <f t="shared" ref="E24:H24" ca="1" si="7">CHAR(RANDBETWEEN(97,122))</f>
        <v>d</v>
      </c>
      <c r="F24" s="61" t="str">
        <f t="shared" ca="1" si="7"/>
        <v>u</v>
      </c>
      <c r="G24" s="61" t="str">
        <f t="shared" ca="1" si="7"/>
        <v>z</v>
      </c>
      <c r="H24" s="62" t="str">
        <f t="shared" ca="1" si="7"/>
        <v>l</v>
      </c>
      <c r="I24" s="47"/>
      <c r="J24" s="58" t="s">
        <v>217</v>
      </c>
      <c r="K24" s="41" t="str">
        <f>TRIM(K23)</f>
        <v>string demo</v>
      </c>
      <c r="L24" s="42"/>
      <c r="O24" s="24"/>
      <c r="P24" s="24"/>
      <c r="Q24" s="24"/>
      <c r="R24" s="24"/>
      <c r="S24" s="24"/>
    </row>
    <row r="25" spans="1:19" ht="15.75" thickBot="1">
      <c r="A25" s="47"/>
      <c r="B25" s="47"/>
      <c r="C25" s="60" t="s">
        <v>218</v>
      </c>
      <c r="D25" s="33" t="b" cm="1">
        <f t="array" aca="1" ref="D25" ca="1">D26=IFERROR(CHAR(VLOOKUP(CODE(D$24),CODE($C$1:$D$15),2,FALSE)),"X")</f>
        <v>0</v>
      </c>
      <c r="E25" s="33" t="str" cm="1">
        <f t="array" aca="1" ref="E25" ca="1">IFERROR(CHAR(VLOOKUP(CODE(E$24),CODE($C$1:$D$15),2,FALSE)),"X")</f>
        <v>i</v>
      </c>
      <c r="F25" s="33" t="str" cm="1">
        <f t="array" aca="1" ref="F25" ca="1">IFERROR(CHAR(VLOOKUP(CODE(F$24),CODE($C$1:$D$15),2,FALSE)),"X")</f>
        <v>X</v>
      </c>
      <c r="G25" s="33" t="str" cm="1">
        <f t="array" aca="1" ref="G25" ca="1">IFERROR(CHAR(VLOOKUP(CODE(G$24),CODE($C$1:$D$15),2,FALSE)),"X")</f>
        <v>h</v>
      </c>
      <c r="H25" s="34" t="str" cm="1">
        <f t="array" aca="1" ref="H25" ca="1">IFERROR(CHAR(VLOOKUP(CODE(H$24),CODE($C$1:$D$15),2,FALSE)),"X")</f>
        <v>X</v>
      </c>
      <c r="I25" s="47"/>
      <c r="J25" s="47"/>
      <c r="O25" s="24"/>
      <c r="P25" s="24"/>
      <c r="Q25" s="24"/>
      <c r="R25" s="24"/>
      <c r="S25" s="24"/>
    </row>
    <row r="26" spans="1:19" ht="15.75" thickBot="1">
      <c r="A26" s="47"/>
      <c r="B26" s="47"/>
      <c r="C26" s="63"/>
      <c r="D26" s="47"/>
      <c r="E26" s="47"/>
      <c r="F26" s="47"/>
      <c r="G26" s="47"/>
      <c r="H26" s="47"/>
      <c r="I26" s="47"/>
      <c r="J26" s="47"/>
      <c r="O26" s="24"/>
      <c r="P26" s="24"/>
      <c r="Q26" s="24"/>
      <c r="R26" s="24"/>
      <c r="S26" s="24"/>
    </row>
    <row r="27" spans="1:19" ht="15.75" thickBot="1">
      <c r="A27" s="47"/>
      <c r="B27" s="47"/>
      <c r="C27" s="26" t="s">
        <v>221</v>
      </c>
      <c r="D27" s="27"/>
      <c r="E27" s="27"/>
      <c r="F27" s="27"/>
      <c r="G27" s="27"/>
      <c r="H27" s="65"/>
      <c r="J27" s="47"/>
      <c r="O27" s="24"/>
      <c r="P27" s="24"/>
      <c r="Q27" s="24"/>
      <c r="R27" s="24"/>
      <c r="S27" s="24"/>
    </row>
    <row r="28" spans="1:19">
      <c r="A28" s="47"/>
      <c r="C28" s="59" t="str" cm="1">
        <f t="array" aca="1" ref="C28" ca="1">INDEX(C1:C15,RANDBETWEEN(1,ROWS(C1:C15)))</f>
        <v>A</v>
      </c>
      <c r="D28" s="64" t="str" cm="1">
        <f t="array" aca="1" ref="D28:H29" ca="1">_xlfn._xlws.FILTER(C1:G15, C1:C15=C28,"X")</f>
        <v>A</v>
      </c>
      <c r="E28" s="64" t="str">
        <f ca="1"/>
        <v>B</v>
      </c>
      <c r="F28" s="64" t="str">
        <f ca="1"/>
        <v>C</v>
      </c>
      <c r="G28" s="64" t="str">
        <f ca="1"/>
        <v>D</v>
      </c>
      <c r="H28" s="64" t="str">
        <f ca="1"/>
        <v>E</v>
      </c>
      <c r="J28" s="47"/>
      <c r="O28" s="24"/>
      <c r="P28" s="24"/>
      <c r="Q28" s="24"/>
      <c r="R28" s="24"/>
      <c r="S28" s="24"/>
    </row>
    <row r="29" spans="1:19">
      <c r="C29" s="59"/>
      <c r="D29" s="48" t="str">
        <f ca="1"/>
        <v>a</v>
      </c>
      <c r="E29" s="48" t="str">
        <f ca="1"/>
        <v>b</v>
      </c>
      <c r="F29" s="48">
        <f ca="1"/>
        <v>0.21787078557300943</v>
      </c>
      <c r="G29" s="48">
        <f ca="1"/>
        <v>0.65362610217506156</v>
      </c>
      <c r="H29" s="48">
        <f ca="1"/>
        <v>0.66798321306924446</v>
      </c>
      <c r="O29" s="24"/>
      <c r="P29" s="24"/>
      <c r="Q29" s="24"/>
      <c r="R29" s="24"/>
      <c r="S29" s="24"/>
    </row>
    <row r="30" spans="1:19">
      <c r="C30" s="59"/>
      <c r="D30" s="48"/>
      <c r="E30" s="48"/>
      <c r="F30" s="48"/>
      <c r="G30" s="48"/>
      <c r="H30" s="48"/>
      <c r="O30" s="24"/>
      <c r="P30" s="24"/>
      <c r="Q30" s="24"/>
      <c r="R30" s="24"/>
      <c r="S30" s="24"/>
    </row>
    <row r="31" spans="1:19">
      <c r="C31" s="59"/>
      <c r="D31" s="48"/>
      <c r="E31" s="48"/>
      <c r="F31" s="48"/>
      <c r="G31" s="48"/>
      <c r="H31" s="48"/>
    </row>
  </sheetData>
  <sortState xmlns:xlrd2="http://schemas.microsoft.com/office/spreadsheetml/2017/richdata2" ref="V3:V15">
    <sortCondition ref="V3:V15"/>
  </sortState>
  <phoneticPr fontId="20" type="noConversion"/>
  <dataValidations disablePrompts="1" count="2">
    <dataValidation type="list" allowBlank="1" showInputMessage="1" showErrorMessage="1" sqref="S3" xr:uid="{4ED336A2-5DEA-45CD-A484-9251144B8B38}">
      <formula1>$O$3:$Q$3</formula1>
    </dataValidation>
    <dataValidation type="list" allowBlank="1" showInputMessage="1" showErrorMessage="1" sqref="S4" xr:uid="{8BEB0464-07EA-47BD-BD19-457EBB75F1F8}">
      <formula1>INDIRECT(S3)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">
                <anchor moveWithCells="1">
                  <from>
                    <xdr:col>9</xdr:col>
                    <xdr:colOff>552450</xdr:colOff>
                    <xdr:row>12</xdr:row>
                    <xdr:rowOff>57150</xdr:rowOff>
                  </from>
                  <to>
                    <xdr:col>12</xdr:col>
                    <xdr:colOff>190500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B26350C-5FDC-496E-A567-1565D2998E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Sheet6!E2:G2</xm:f>
              <xm:sqref>H2</xm:sqref>
            </x14:sparkline>
            <x14:sparkline>
              <xm:f>Sheet6!E3:G3</xm:f>
              <xm:sqref>H3</xm:sqref>
            </x14:sparkline>
            <x14:sparkline>
              <xm:f>Sheet6!E4:G4</xm:f>
              <xm:sqref>H4</xm:sqref>
            </x14:sparkline>
            <x14:sparkline>
              <xm:f>Sheet6!E5:G5</xm:f>
              <xm:sqref>H5</xm:sqref>
            </x14:sparkline>
            <x14:sparkline>
              <xm:f>Sheet6!E6:G6</xm:f>
              <xm:sqref>H6</xm:sqref>
            </x14:sparkline>
            <x14:sparkline>
              <xm:f>Sheet6!E7:G7</xm:f>
              <xm:sqref>H7</xm:sqref>
            </x14:sparkline>
            <x14:sparkline>
              <xm:f>Sheet6!E8:G8</xm:f>
              <xm:sqref>H8</xm:sqref>
            </x14:sparkline>
            <x14:sparkline>
              <xm:f>Sheet6!E9:G9</xm:f>
              <xm:sqref>H9</xm:sqref>
            </x14:sparkline>
            <x14:sparkline>
              <xm:f>Sheet6!E10:G10</xm:f>
              <xm:sqref>H10</xm:sqref>
            </x14:sparkline>
            <x14:sparkline>
              <xm:f>Sheet6!E11:G11</xm:f>
              <xm:sqref>H11</xm:sqref>
            </x14:sparkline>
            <x14:sparkline>
              <xm:f>Sheet6!E12:G12</xm:f>
              <xm:sqref>H12</xm:sqref>
            </x14:sparkline>
            <x14:sparkline>
              <xm:f>Sheet6!E13:G13</xm:f>
              <xm:sqref>H13</xm:sqref>
            </x14:sparkline>
            <x14:sparkline>
              <xm:f>Sheet6!E14:G14</xm:f>
              <xm:sqref>H14</xm:sqref>
            </x14:sparkline>
            <x14:sparkline>
              <xm:f>Sheet6!E15:G15</xm:f>
              <xm:sqref>H15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143A4-DD60-4A88-989A-012F73CF2C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raw_csv</vt:lpstr>
      <vt:lpstr>from_csv_to_table</vt:lpstr>
      <vt:lpstr>formatted</vt:lpstr>
      <vt:lpstr>pivot</vt:lpstr>
      <vt:lpstr>Sheet6</vt:lpstr>
      <vt:lpstr>SA</vt:lpstr>
      <vt:lpstr>SB</vt:lpstr>
      <vt:lpstr>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Juho Holopainen</dc:creator>
  <cp:lastModifiedBy>juho</cp:lastModifiedBy>
  <cp:lastPrinted>2022-12-12T20:28:53Z</cp:lastPrinted>
  <dcterms:created xsi:type="dcterms:W3CDTF">2022-12-12T08:23:16Z</dcterms:created>
  <dcterms:modified xsi:type="dcterms:W3CDTF">2022-12-13T07:14:37Z</dcterms:modified>
</cp:coreProperties>
</file>